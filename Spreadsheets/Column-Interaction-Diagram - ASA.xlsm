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Masteral\AdvancedConcreteDesign\Spreadsheets\"/>
    </mc:Choice>
  </mc:AlternateContent>
  <xr:revisionPtr revIDLastSave="0" documentId="13_ncr:1_{5DFDE933-7AAE-4575-9318-EEB6EA938CDA}" xr6:coauthVersionLast="37" xr6:coauthVersionMax="37" xr10:uidLastSave="{00000000-0000-0000-0000-000000000000}"/>
  <bookViews>
    <workbookView xWindow="0" yWindow="0" windowWidth="14100" windowHeight="6360" xr2:uid="{43D9F940-41C5-42EA-8C11-F3189F7C6C13}"/>
  </bookViews>
  <sheets>
    <sheet name="Sheet1" sheetId="1" r:id="rId1"/>
  </sheets>
  <functionGroups builtInGroupCount="19"/>
  <definedNames>
    <definedName name="As_1">Sheet1!$E$12</definedName>
    <definedName name="As_2">Sheet1!$E$13</definedName>
    <definedName name="b">Sheet1!$B$2</definedName>
    <definedName name="b_1">Sheet1!$B$6</definedName>
    <definedName name="d_1">Sheet1!$B$12</definedName>
    <definedName name="d_2">Sheet1!$B$13</definedName>
    <definedName name="fc_prime">Sheet1!$B$4</definedName>
    <definedName name="fy">Sheet1!$B$5</definedName>
    <definedName name="h">Sheet1!$B$3</definedName>
    <definedName name="increment">Sheet1!$E$3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21" i="1"/>
  <c r="C141" i="1" l="1"/>
  <c r="H141" i="1"/>
  <c r="M141" i="1"/>
  <c r="H138" i="1"/>
  <c r="M138" i="1"/>
  <c r="H139" i="1"/>
  <c r="M139" i="1"/>
  <c r="H140" i="1"/>
  <c r="M140" i="1"/>
  <c r="F141" i="1"/>
  <c r="G141" i="1"/>
  <c r="K141" i="1"/>
  <c r="L141" i="1" s="1"/>
  <c r="D141" i="1" l="1"/>
  <c r="E141" i="1" s="1"/>
  <c r="N141" i="1"/>
  <c r="O141" i="1" s="1"/>
  <c r="I141" i="1"/>
  <c r="J141" i="1" s="1"/>
  <c r="H128" i="1"/>
  <c r="M128" i="1"/>
  <c r="H129" i="1"/>
  <c r="M129" i="1"/>
  <c r="H130" i="1"/>
  <c r="M130" i="1"/>
  <c r="H131" i="1"/>
  <c r="M131" i="1"/>
  <c r="H132" i="1"/>
  <c r="M132" i="1"/>
  <c r="H133" i="1"/>
  <c r="M133" i="1"/>
  <c r="H134" i="1"/>
  <c r="M134" i="1"/>
  <c r="H135" i="1"/>
  <c r="M135" i="1"/>
  <c r="H136" i="1"/>
  <c r="M136" i="1"/>
  <c r="H137" i="1"/>
  <c r="M137" i="1"/>
  <c r="H121" i="1"/>
  <c r="M121" i="1"/>
  <c r="H122" i="1"/>
  <c r="M122" i="1"/>
  <c r="H123" i="1"/>
  <c r="M123" i="1"/>
  <c r="H124" i="1"/>
  <c r="M124" i="1"/>
  <c r="H125" i="1"/>
  <c r="M125" i="1"/>
  <c r="H126" i="1"/>
  <c r="M126" i="1"/>
  <c r="H127" i="1"/>
  <c r="M127" i="1"/>
  <c r="H22" i="1"/>
  <c r="M22" i="1"/>
  <c r="H23" i="1"/>
  <c r="M23" i="1"/>
  <c r="H24" i="1"/>
  <c r="M24" i="1"/>
  <c r="H25" i="1"/>
  <c r="M25" i="1"/>
  <c r="H26" i="1"/>
  <c r="M26" i="1"/>
  <c r="H27" i="1"/>
  <c r="M27" i="1"/>
  <c r="H28" i="1"/>
  <c r="M28" i="1"/>
  <c r="H29" i="1"/>
  <c r="M29" i="1"/>
  <c r="H30" i="1"/>
  <c r="M30" i="1"/>
  <c r="H31" i="1"/>
  <c r="M31" i="1"/>
  <c r="H32" i="1"/>
  <c r="M32" i="1"/>
  <c r="H33" i="1"/>
  <c r="M33" i="1"/>
  <c r="H34" i="1"/>
  <c r="M34" i="1"/>
  <c r="H35" i="1"/>
  <c r="M35" i="1"/>
  <c r="H36" i="1"/>
  <c r="M36" i="1"/>
  <c r="H37" i="1"/>
  <c r="M37" i="1"/>
  <c r="H38" i="1"/>
  <c r="M38" i="1"/>
  <c r="H39" i="1"/>
  <c r="M39" i="1"/>
  <c r="H40" i="1"/>
  <c r="M40" i="1"/>
  <c r="H41" i="1"/>
  <c r="M41" i="1"/>
  <c r="H42" i="1"/>
  <c r="M42" i="1"/>
  <c r="H43" i="1"/>
  <c r="M43" i="1"/>
  <c r="H44" i="1"/>
  <c r="M44" i="1"/>
  <c r="H45" i="1"/>
  <c r="M45" i="1"/>
  <c r="H46" i="1"/>
  <c r="M46" i="1"/>
  <c r="H47" i="1"/>
  <c r="M47" i="1"/>
  <c r="H48" i="1"/>
  <c r="M48" i="1"/>
  <c r="H49" i="1"/>
  <c r="M49" i="1"/>
  <c r="H50" i="1"/>
  <c r="M50" i="1"/>
  <c r="H51" i="1"/>
  <c r="M51" i="1"/>
  <c r="H52" i="1"/>
  <c r="M52" i="1"/>
  <c r="H53" i="1"/>
  <c r="M53" i="1"/>
  <c r="H54" i="1"/>
  <c r="M54" i="1"/>
  <c r="H55" i="1"/>
  <c r="M55" i="1"/>
  <c r="H56" i="1"/>
  <c r="M56" i="1"/>
  <c r="H57" i="1"/>
  <c r="M57" i="1"/>
  <c r="H58" i="1"/>
  <c r="M58" i="1"/>
  <c r="H59" i="1"/>
  <c r="M59" i="1"/>
  <c r="H60" i="1"/>
  <c r="M60" i="1"/>
  <c r="H61" i="1"/>
  <c r="M61" i="1"/>
  <c r="H62" i="1"/>
  <c r="M62" i="1"/>
  <c r="H63" i="1"/>
  <c r="M63" i="1"/>
  <c r="H64" i="1"/>
  <c r="M64" i="1"/>
  <c r="H65" i="1"/>
  <c r="M65" i="1"/>
  <c r="H66" i="1"/>
  <c r="M66" i="1"/>
  <c r="H67" i="1"/>
  <c r="M67" i="1"/>
  <c r="H68" i="1"/>
  <c r="M68" i="1"/>
  <c r="H69" i="1"/>
  <c r="M69" i="1"/>
  <c r="H70" i="1"/>
  <c r="M70" i="1"/>
  <c r="H71" i="1"/>
  <c r="M71" i="1"/>
  <c r="H72" i="1"/>
  <c r="M72" i="1"/>
  <c r="H73" i="1"/>
  <c r="M73" i="1"/>
  <c r="H74" i="1"/>
  <c r="M74" i="1"/>
  <c r="H75" i="1"/>
  <c r="M75" i="1"/>
  <c r="H76" i="1"/>
  <c r="M76" i="1"/>
  <c r="H77" i="1"/>
  <c r="M77" i="1"/>
  <c r="H78" i="1"/>
  <c r="M78" i="1"/>
  <c r="H79" i="1"/>
  <c r="M79" i="1"/>
  <c r="H80" i="1"/>
  <c r="M80" i="1"/>
  <c r="H81" i="1"/>
  <c r="M81" i="1"/>
  <c r="H82" i="1"/>
  <c r="M82" i="1"/>
  <c r="H83" i="1"/>
  <c r="M83" i="1"/>
  <c r="H84" i="1"/>
  <c r="M84" i="1"/>
  <c r="H85" i="1"/>
  <c r="M85" i="1"/>
  <c r="H86" i="1"/>
  <c r="M86" i="1"/>
  <c r="H87" i="1"/>
  <c r="M87" i="1"/>
  <c r="H88" i="1"/>
  <c r="M88" i="1"/>
  <c r="H89" i="1"/>
  <c r="M89" i="1"/>
  <c r="H90" i="1"/>
  <c r="M90" i="1"/>
  <c r="H91" i="1"/>
  <c r="M91" i="1"/>
  <c r="H92" i="1"/>
  <c r="M92" i="1"/>
  <c r="H93" i="1"/>
  <c r="M93" i="1"/>
  <c r="H94" i="1"/>
  <c r="M94" i="1"/>
  <c r="H95" i="1"/>
  <c r="M95" i="1"/>
  <c r="H96" i="1"/>
  <c r="M96" i="1"/>
  <c r="H97" i="1"/>
  <c r="M97" i="1"/>
  <c r="H98" i="1"/>
  <c r="M98" i="1"/>
  <c r="H99" i="1"/>
  <c r="M99" i="1"/>
  <c r="H100" i="1"/>
  <c r="M100" i="1"/>
  <c r="H101" i="1"/>
  <c r="M101" i="1"/>
  <c r="H102" i="1"/>
  <c r="M102" i="1"/>
  <c r="H103" i="1"/>
  <c r="M103" i="1"/>
  <c r="H104" i="1"/>
  <c r="M104" i="1"/>
  <c r="H105" i="1"/>
  <c r="M105" i="1"/>
  <c r="H106" i="1"/>
  <c r="M106" i="1"/>
  <c r="H107" i="1"/>
  <c r="M107" i="1"/>
  <c r="H108" i="1"/>
  <c r="M108" i="1"/>
  <c r="H109" i="1"/>
  <c r="M109" i="1"/>
  <c r="H110" i="1"/>
  <c r="M110" i="1"/>
  <c r="H111" i="1"/>
  <c r="M111" i="1"/>
  <c r="H112" i="1"/>
  <c r="M112" i="1"/>
  <c r="H113" i="1"/>
  <c r="M113" i="1"/>
  <c r="H114" i="1"/>
  <c r="M114" i="1"/>
  <c r="H115" i="1"/>
  <c r="M115" i="1"/>
  <c r="H116" i="1"/>
  <c r="M116" i="1"/>
  <c r="H117" i="1"/>
  <c r="M117" i="1"/>
  <c r="H118" i="1"/>
  <c r="M118" i="1"/>
  <c r="H119" i="1"/>
  <c r="M119" i="1"/>
  <c r="H120" i="1"/>
  <c r="M120" i="1"/>
  <c r="A22" i="1"/>
  <c r="C22" i="1" s="1"/>
  <c r="M21" i="1"/>
  <c r="H21" i="1"/>
  <c r="K22" i="1"/>
  <c r="L22" i="1" s="1"/>
  <c r="F22" i="1"/>
  <c r="G22" i="1" s="1"/>
  <c r="P141" i="1" l="1"/>
  <c r="Q141" i="1"/>
  <c r="D22" i="1"/>
  <c r="E22" i="1" s="1"/>
  <c r="A23" i="1"/>
  <c r="D21" i="1"/>
  <c r="E13" i="1"/>
  <c r="N22" i="1" s="1"/>
  <c r="O22" i="1" s="1"/>
  <c r="E12" i="1"/>
  <c r="I22" i="1" s="1"/>
  <c r="J22" i="1" s="1"/>
  <c r="K21" i="1"/>
  <c r="K23" i="1"/>
  <c r="F23" i="1"/>
  <c r="F21" i="1"/>
  <c r="G21" i="1"/>
  <c r="P22" i="1" l="1"/>
  <c r="C21" i="1"/>
  <c r="E21" i="1" s="1"/>
  <c r="Q22" i="1"/>
  <c r="A24" i="1"/>
  <c r="I21" i="1"/>
  <c r="J21" i="1" s="1"/>
  <c r="F24" i="1"/>
  <c r="L23" i="1"/>
  <c r="K24" i="1"/>
  <c r="L21" i="1"/>
  <c r="G23" i="1"/>
  <c r="I23" i="1" l="1"/>
  <c r="J23" i="1" s="1"/>
  <c r="N21" i="1"/>
  <c r="O21" i="1" s="1"/>
  <c r="P21" i="1" s="1"/>
  <c r="N23" i="1"/>
  <c r="O23" i="1" s="1"/>
  <c r="C23" i="1"/>
  <c r="D23" i="1"/>
  <c r="A25" i="1"/>
  <c r="K25" i="1"/>
  <c r="F25" i="1"/>
  <c r="G24" i="1"/>
  <c r="L24" i="1"/>
  <c r="Q21" i="1" l="1"/>
  <c r="N24" i="1"/>
  <c r="O24" i="1" s="1"/>
  <c r="I24" i="1"/>
  <c r="J24" i="1" s="1"/>
  <c r="C24" i="1"/>
  <c r="D24" i="1"/>
  <c r="A26" i="1"/>
  <c r="E23" i="1"/>
  <c r="P23" i="1" s="1"/>
  <c r="Q23" i="1"/>
  <c r="K26" i="1"/>
  <c r="F26" i="1"/>
  <c r="L25" i="1"/>
  <c r="G25" i="1"/>
  <c r="N25" i="1" l="1"/>
  <c r="O25" i="1" s="1"/>
  <c r="I25" i="1"/>
  <c r="J25" i="1" s="1"/>
  <c r="C25" i="1"/>
  <c r="D25" i="1"/>
  <c r="A27" i="1"/>
  <c r="Q24" i="1"/>
  <c r="E24" i="1"/>
  <c r="P24" i="1" s="1"/>
  <c r="L26" i="1"/>
  <c r="G26" i="1"/>
  <c r="K27" i="1"/>
  <c r="F27" i="1"/>
  <c r="I26" i="1" l="1"/>
  <c r="J26" i="1" s="1"/>
  <c r="N26" i="1"/>
  <c r="O26" i="1" s="1"/>
  <c r="C26" i="1"/>
  <c r="D26" i="1"/>
  <c r="A28" i="1"/>
  <c r="E25" i="1"/>
  <c r="P25" i="1" s="1"/>
  <c r="Q25" i="1"/>
  <c r="F28" i="1"/>
  <c r="L27" i="1"/>
  <c r="G27" i="1"/>
  <c r="K28" i="1"/>
  <c r="N27" i="1" l="1"/>
  <c r="O27" i="1" s="1"/>
  <c r="I27" i="1"/>
  <c r="J27" i="1" s="1"/>
  <c r="D27" i="1"/>
  <c r="C27" i="1"/>
  <c r="A29" i="1"/>
  <c r="E26" i="1"/>
  <c r="P26" i="1" s="1"/>
  <c r="Q26" i="1"/>
  <c r="F29" i="1"/>
  <c r="L28" i="1"/>
  <c r="G28" i="1"/>
  <c r="K29" i="1"/>
  <c r="N28" i="1" l="1"/>
  <c r="O28" i="1" s="1"/>
  <c r="I28" i="1"/>
  <c r="J28" i="1" s="1"/>
  <c r="E27" i="1"/>
  <c r="P27" i="1" s="1"/>
  <c r="Q27" i="1"/>
  <c r="C28" i="1"/>
  <c r="D28" i="1"/>
  <c r="A30" i="1"/>
  <c r="L29" i="1"/>
  <c r="F30" i="1"/>
  <c r="G29" i="1"/>
  <c r="K30" i="1"/>
  <c r="N29" i="1" l="1"/>
  <c r="O29" i="1" s="1"/>
  <c r="I29" i="1"/>
  <c r="J29" i="1" s="1"/>
  <c r="E28" i="1"/>
  <c r="P28" i="1" s="1"/>
  <c r="Q28" i="1"/>
  <c r="A31" i="1"/>
  <c r="D29" i="1"/>
  <c r="C29" i="1"/>
  <c r="G30" i="1"/>
  <c r="K31" i="1"/>
  <c r="L30" i="1"/>
  <c r="F31" i="1"/>
  <c r="I30" i="1" l="1"/>
  <c r="J30" i="1" s="1"/>
  <c r="N30" i="1"/>
  <c r="O30" i="1" s="1"/>
  <c r="C30" i="1"/>
  <c r="D30" i="1"/>
  <c r="A32" i="1"/>
  <c r="E29" i="1"/>
  <c r="P29" i="1" s="1"/>
  <c r="Q29" i="1"/>
  <c r="K32" i="1"/>
  <c r="L31" i="1"/>
  <c r="G31" i="1"/>
  <c r="F32" i="1"/>
  <c r="N31" i="1" l="1"/>
  <c r="O31" i="1" s="1"/>
  <c r="I31" i="1"/>
  <c r="J31" i="1" s="1"/>
  <c r="A33" i="1"/>
  <c r="E30" i="1"/>
  <c r="P30" i="1" s="1"/>
  <c r="Q30" i="1"/>
  <c r="D31" i="1"/>
  <c r="C31" i="1"/>
  <c r="L32" i="1"/>
  <c r="K33" i="1"/>
  <c r="G32" i="1"/>
  <c r="F33" i="1"/>
  <c r="I32" i="1" l="1"/>
  <c r="J32" i="1" s="1"/>
  <c r="N32" i="1"/>
  <c r="O32" i="1" s="1"/>
  <c r="E31" i="1"/>
  <c r="P31" i="1" s="1"/>
  <c r="Q31" i="1"/>
  <c r="C32" i="1"/>
  <c r="D32" i="1"/>
  <c r="A34" i="1"/>
  <c r="G33" i="1"/>
  <c r="K34" i="1"/>
  <c r="L33" i="1"/>
  <c r="F34" i="1"/>
  <c r="N33" i="1" l="1"/>
  <c r="O33" i="1" s="1"/>
  <c r="I33" i="1"/>
  <c r="J33" i="1" s="1"/>
  <c r="D33" i="1"/>
  <c r="C33" i="1"/>
  <c r="A35" i="1"/>
  <c r="E32" i="1"/>
  <c r="P32" i="1" s="1"/>
  <c r="Q32" i="1"/>
  <c r="L34" i="1"/>
  <c r="F35" i="1"/>
  <c r="G34" i="1"/>
  <c r="K35" i="1"/>
  <c r="I34" i="1" l="1"/>
  <c r="J34" i="1" s="1"/>
  <c r="N34" i="1"/>
  <c r="O34" i="1" s="1"/>
  <c r="A36" i="1"/>
  <c r="C34" i="1"/>
  <c r="D34" i="1"/>
  <c r="E33" i="1"/>
  <c r="P33" i="1" s="1"/>
  <c r="Q33" i="1"/>
  <c r="G35" i="1"/>
  <c r="L35" i="1"/>
  <c r="F36" i="1"/>
  <c r="K36" i="1"/>
  <c r="N35" i="1" l="1"/>
  <c r="O35" i="1" s="1"/>
  <c r="I35" i="1"/>
  <c r="J35" i="1" s="1"/>
  <c r="E34" i="1"/>
  <c r="P34" i="1" s="1"/>
  <c r="Q34" i="1"/>
  <c r="A37" i="1"/>
  <c r="C35" i="1"/>
  <c r="D35" i="1"/>
  <c r="L36" i="1"/>
  <c r="F37" i="1"/>
  <c r="K37" i="1"/>
  <c r="G36" i="1"/>
  <c r="I36" i="1" l="1"/>
  <c r="J36" i="1" s="1"/>
  <c r="N36" i="1"/>
  <c r="O36" i="1" s="1"/>
  <c r="E35" i="1"/>
  <c r="P35" i="1" s="1"/>
  <c r="Q35" i="1"/>
  <c r="A38" i="1"/>
  <c r="C36" i="1"/>
  <c r="D36" i="1"/>
  <c r="L37" i="1"/>
  <c r="F38" i="1"/>
  <c r="G37" i="1"/>
  <c r="K38" i="1"/>
  <c r="I37" i="1" l="1"/>
  <c r="J37" i="1" s="1"/>
  <c r="N37" i="1"/>
  <c r="O37" i="1" s="1"/>
  <c r="C37" i="1"/>
  <c r="D37" i="1"/>
  <c r="E36" i="1"/>
  <c r="P36" i="1" s="1"/>
  <c r="Q36" i="1"/>
  <c r="A39" i="1"/>
  <c r="L38" i="1"/>
  <c r="F39" i="1"/>
  <c r="K39" i="1"/>
  <c r="G38" i="1"/>
  <c r="I38" i="1" l="1"/>
  <c r="J38" i="1" s="1"/>
  <c r="N38" i="1"/>
  <c r="O38" i="1" s="1"/>
  <c r="C38" i="1"/>
  <c r="D38" i="1"/>
  <c r="A40" i="1"/>
  <c r="E37" i="1"/>
  <c r="P37" i="1" s="1"/>
  <c r="Q37" i="1"/>
  <c r="L39" i="1"/>
  <c r="G39" i="1"/>
  <c r="K40" i="1"/>
  <c r="F40" i="1"/>
  <c r="I39" i="1" l="1"/>
  <c r="J39" i="1" s="1"/>
  <c r="N39" i="1"/>
  <c r="O39" i="1" s="1"/>
  <c r="A41" i="1"/>
  <c r="C39" i="1"/>
  <c r="D39" i="1"/>
  <c r="E38" i="1"/>
  <c r="P38" i="1" s="1"/>
  <c r="Q38" i="1"/>
  <c r="F41" i="1"/>
  <c r="K41" i="1"/>
  <c r="L40" i="1"/>
  <c r="G40" i="1"/>
  <c r="N40" i="1" l="1"/>
  <c r="O40" i="1" s="1"/>
  <c r="I40" i="1"/>
  <c r="J40" i="1" s="1"/>
  <c r="A42" i="1"/>
  <c r="E39" i="1"/>
  <c r="P39" i="1" s="1"/>
  <c r="Q39" i="1"/>
  <c r="D40" i="1"/>
  <c r="C40" i="1"/>
  <c r="F42" i="1"/>
  <c r="K42" i="1"/>
  <c r="G41" i="1"/>
  <c r="L41" i="1"/>
  <c r="I41" i="1" l="1"/>
  <c r="J41" i="1" s="1"/>
  <c r="N41" i="1"/>
  <c r="O41" i="1" s="1"/>
  <c r="E40" i="1"/>
  <c r="P40" i="1" s="1"/>
  <c r="Q40" i="1"/>
  <c r="A43" i="1"/>
  <c r="C41" i="1"/>
  <c r="D41" i="1"/>
  <c r="L42" i="1"/>
  <c r="F43" i="1"/>
  <c r="K43" i="1"/>
  <c r="G42" i="1"/>
  <c r="I42" i="1" l="1"/>
  <c r="J42" i="1" s="1"/>
  <c r="N42" i="1"/>
  <c r="O42" i="1" s="1"/>
  <c r="A44" i="1"/>
  <c r="E41" i="1"/>
  <c r="P41" i="1" s="1"/>
  <c r="Q41" i="1"/>
  <c r="D42" i="1"/>
  <c r="C42" i="1"/>
  <c r="G43" i="1"/>
  <c r="K44" i="1"/>
  <c r="F44" i="1"/>
  <c r="L43" i="1"/>
  <c r="I43" i="1" l="1"/>
  <c r="J43" i="1" s="1"/>
  <c r="N43" i="1"/>
  <c r="O43" i="1" s="1"/>
  <c r="E42" i="1"/>
  <c r="P42" i="1" s="1"/>
  <c r="Q42" i="1"/>
  <c r="A45" i="1"/>
  <c r="C43" i="1"/>
  <c r="D43" i="1"/>
  <c r="L44" i="1"/>
  <c r="K45" i="1"/>
  <c r="F45" i="1"/>
  <c r="G44" i="1"/>
  <c r="I44" i="1" l="1"/>
  <c r="J44" i="1" s="1"/>
  <c r="N44" i="1"/>
  <c r="O44" i="1" s="1"/>
  <c r="C44" i="1"/>
  <c r="D44" i="1"/>
  <c r="A46" i="1"/>
  <c r="E43" i="1"/>
  <c r="P43" i="1" s="1"/>
  <c r="Q43" i="1"/>
  <c r="G45" i="1"/>
  <c r="F46" i="1"/>
  <c r="K46" i="1"/>
  <c r="L45" i="1"/>
  <c r="N45" i="1" l="1"/>
  <c r="O45" i="1" s="1"/>
  <c r="I45" i="1"/>
  <c r="J45" i="1" s="1"/>
  <c r="A47" i="1"/>
  <c r="C45" i="1"/>
  <c r="D45" i="1"/>
  <c r="E44" i="1"/>
  <c r="P44" i="1" s="1"/>
  <c r="Q44" i="1"/>
  <c r="F47" i="1"/>
  <c r="K47" i="1"/>
  <c r="L46" i="1"/>
  <c r="G46" i="1"/>
  <c r="I46" i="1" l="1"/>
  <c r="J46" i="1" s="1"/>
  <c r="N46" i="1"/>
  <c r="O46" i="1" s="1"/>
  <c r="C46" i="1"/>
  <c r="D46" i="1"/>
  <c r="E45" i="1"/>
  <c r="P45" i="1" s="1"/>
  <c r="Q45" i="1"/>
  <c r="A48" i="1"/>
  <c r="L47" i="1"/>
  <c r="K48" i="1"/>
  <c r="G47" i="1"/>
  <c r="F48" i="1"/>
  <c r="N47" i="1" l="1"/>
  <c r="O47" i="1" s="1"/>
  <c r="I47" i="1"/>
  <c r="J47" i="1" s="1"/>
  <c r="A49" i="1"/>
  <c r="E46" i="1"/>
  <c r="P46" i="1" s="1"/>
  <c r="Q46" i="1"/>
  <c r="C47" i="1"/>
  <c r="D47" i="1"/>
  <c r="K49" i="1"/>
  <c r="F49" i="1"/>
  <c r="L48" i="1"/>
  <c r="G48" i="1"/>
  <c r="I48" i="1" l="1"/>
  <c r="J48" i="1" s="1"/>
  <c r="N48" i="1"/>
  <c r="O48" i="1" s="1"/>
  <c r="E47" i="1"/>
  <c r="P47" i="1" s="1"/>
  <c r="Q47" i="1"/>
  <c r="C48" i="1"/>
  <c r="D48" i="1"/>
  <c r="A50" i="1"/>
  <c r="L49" i="1"/>
  <c r="K50" i="1"/>
  <c r="F50" i="1"/>
  <c r="G49" i="1"/>
  <c r="N49" i="1" l="1"/>
  <c r="O49" i="1" s="1"/>
  <c r="I49" i="1"/>
  <c r="J49" i="1" s="1"/>
  <c r="C49" i="1"/>
  <c r="D49" i="1"/>
  <c r="E48" i="1"/>
  <c r="P48" i="1" s="1"/>
  <c r="Q48" i="1"/>
  <c r="A51" i="1"/>
  <c r="K51" i="1"/>
  <c r="F51" i="1"/>
  <c r="G50" i="1"/>
  <c r="L50" i="1"/>
  <c r="I50" i="1" l="1"/>
  <c r="J50" i="1" s="1"/>
  <c r="N50" i="1"/>
  <c r="O50" i="1" s="1"/>
  <c r="C50" i="1"/>
  <c r="D50" i="1"/>
  <c r="A52" i="1"/>
  <c r="E49" i="1"/>
  <c r="P49" i="1" s="1"/>
  <c r="Q49" i="1"/>
  <c r="L51" i="1"/>
  <c r="K52" i="1"/>
  <c r="F52" i="1"/>
  <c r="G51" i="1"/>
  <c r="N51" i="1" l="1"/>
  <c r="O51" i="1" s="1"/>
  <c r="I51" i="1"/>
  <c r="J51" i="1" s="1"/>
  <c r="D51" i="1"/>
  <c r="C51" i="1"/>
  <c r="A53" i="1"/>
  <c r="E50" i="1"/>
  <c r="P50" i="1" s="1"/>
  <c r="Q50" i="1"/>
  <c r="G52" i="1"/>
  <c r="K53" i="1"/>
  <c r="L52" i="1"/>
  <c r="F53" i="1"/>
  <c r="I52" i="1" l="1"/>
  <c r="J52" i="1" s="1"/>
  <c r="N52" i="1"/>
  <c r="O52" i="1" s="1"/>
  <c r="A54" i="1"/>
  <c r="C52" i="1"/>
  <c r="D52" i="1"/>
  <c r="E51" i="1"/>
  <c r="P51" i="1" s="1"/>
  <c r="Q51" i="1"/>
  <c r="F54" i="1"/>
  <c r="K54" i="1"/>
  <c r="G53" i="1"/>
  <c r="L53" i="1"/>
  <c r="I53" i="1" l="1"/>
  <c r="J53" i="1" s="1"/>
  <c r="N53" i="1"/>
  <c r="O53" i="1" s="1"/>
  <c r="E52" i="1"/>
  <c r="P52" i="1" s="1"/>
  <c r="Q52" i="1"/>
  <c r="A55" i="1"/>
  <c r="D53" i="1"/>
  <c r="C53" i="1"/>
  <c r="L54" i="1"/>
  <c r="F55" i="1"/>
  <c r="K55" i="1"/>
  <c r="G54" i="1"/>
  <c r="N54" i="1" l="1"/>
  <c r="O54" i="1" s="1"/>
  <c r="I54" i="1"/>
  <c r="J54" i="1" s="1"/>
  <c r="C54" i="1"/>
  <c r="D54" i="1"/>
  <c r="A56" i="1"/>
  <c r="E53" i="1"/>
  <c r="P53" i="1" s="1"/>
  <c r="Q53" i="1"/>
  <c r="G55" i="1"/>
  <c r="K56" i="1"/>
  <c r="L55" i="1"/>
  <c r="F56" i="1"/>
  <c r="N55" i="1" l="1"/>
  <c r="O55" i="1" s="1"/>
  <c r="I55" i="1"/>
  <c r="J55" i="1" s="1"/>
  <c r="A57" i="1"/>
  <c r="C55" i="1"/>
  <c r="D55" i="1"/>
  <c r="E54" i="1"/>
  <c r="P54" i="1" s="1"/>
  <c r="Q54" i="1"/>
  <c r="L56" i="1"/>
  <c r="K57" i="1"/>
  <c r="F57" i="1"/>
  <c r="G56" i="1"/>
  <c r="N56" i="1" l="1"/>
  <c r="O56" i="1" s="1"/>
  <c r="I56" i="1"/>
  <c r="J56" i="1" s="1"/>
  <c r="E55" i="1"/>
  <c r="P55" i="1" s="1"/>
  <c r="Q55" i="1"/>
  <c r="C56" i="1"/>
  <c r="D56" i="1"/>
  <c r="A58" i="1"/>
  <c r="K58" i="1"/>
  <c r="L57" i="1"/>
  <c r="F58" i="1"/>
  <c r="G57" i="1"/>
  <c r="N57" i="1" l="1"/>
  <c r="O57" i="1" s="1"/>
  <c r="I57" i="1"/>
  <c r="J57" i="1" s="1"/>
  <c r="A59" i="1"/>
  <c r="C57" i="1"/>
  <c r="D57" i="1"/>
  <c r="E56" i="1"/>
  <c r="P56" i="1" s="1"/>
  <c r="Q56" i="1"/>
  <c r="G58" i="1"/>
  <c r="K59" i="1"/>
  <c r="F59" i="1"/>
  <c r="L58" i="1"/>
  <c r="N58" i="1" l="1"/>
  <c r="O58" i="1" s="1"/>
  <c r="I58" i="1"/>
  <c r="J58" i="1" s="1"/>
  <c r="E57" i="1"/>
  <c r="P57" i="1" s="1"/>
  <c r="Q57" i="1"/>
  <c r="A60" i="1"/>
  <c r="C58" i="1"/>
  <c r="D58" i="1"/>
  <c r="L59" i="1"/>
  <c r="F60" i="1"/>
  <c r="K60" i="1"/>
  <c r="G59" i="1"/>
  <c r="I59" i="1" l="1"/>
  <c r="J59" i="1" s="1"/>
  <c r="N59" i="1"/>
  <c r="O59" i="1" s="1"/>
  <c r="A61" i="1"/>
  <c r="C59" i="1"/>
  <c r="D59" i="1"/>
  <c r="E58" i="1"/>
  <c r="P58" i="1" s="1"/>
  <c r="Q58" i="1"/>
  <c r="K61" i="1"/>
  <c r="L60" i="1"/>
  <c r="F61" i="1"/>
  <c r="G60" i="1"/>
  <c r="I60" i="1" l="1"/>
  <c r="J60" i="1" s="1"/>
  <c r="N60" i="1"/>
  <c r="O60" i="1" s="1"/>
  <c r="E59" i="1"/>
  <c r="P59" i="1" s="1"/>
  <c r="Q59" i="1"/>
  <c r="A62" i="1"/>
  <c r="C60" i="1"/>
  <c r="D60" i="1"/>
  <c r="G61" i="1"/>
  <c r="K62" i="1"/>
  <c r="L61" i="1"/>
  <c r="F62" i="1"/>
  <c r="N61" i="1" l="1"/>
  <c r="O61" i="1" s="1"/>
  <c r="I61" i="1"/>
  <c r="J61" i="1" s="1"/>
  <c r="A63" i="1"/>
  <c r="C61" i="1"/>
  <c r="D61" i="1"/>
  <c r="E60" i="1"/>
  <c r="P60" i="1" s="1"/>
  <c r="Q60" i="1"/>
  <c r="K63" i="1"/>
  <c r="G62" i="1"/>
  <c r="F63" i="1"/>
  <c r="L62" i="1"/>
  <c r="N62" i="1" l="1"/>
  <c r="O62" i="1" s="1"/>
  <c r="I62" i="1"/>
  <c r="J62" i="1" s="1"/>
  <c r="E61" i="1"/>
  <c r="P61" i="1" s="1"/>
  <c r="Q61" i="1"/>
  <c r="D62" i="1"/>
  <c r="C62" i="1"/>
  <c r="A64" i="1"/>
  <c r="G63" i="1"/>
  <c r="L63" i="1"/>
  <c r="F64" i="1"/>
  <c r="K64" i="1"/>
  <c r="N63" i="1" l="1"/>
  <c r="O63" i="1" s="1"/>
  <c r="I63" i="1"/>
  <c r="J63" i="1" s="1"/>
  <c r="A65" i="1"/>
  <c r="E62" i="1"/>
  <c r="P62" i="1" s="1"/>
  <c r="Q62" i="1"/>
  <c r="C63" i="1"/>
  <c r="D63" i="1"/>
  <c r="L64" i="1"/>
  <c r="G64" i="1"/>
  <c r="K65" i="1"/>
  <c r="F65" i="1"/>
  <c r="I64" i="1" l="1"/>
  <c r="J64" i="1" s="1"/>
  <c r="N64" i="1"/>
  <c r="O64" i="1" s="1"/>
  <c r="Q63" i="1"/>
  <c r="E63" i="1"/>
  <c r="P63" i="1" s="1"/>
  <c r="D64" i="1"/>
  <c r="C64" i="1"/>
  <c r="A66" i="1"/>
  <c r="F66" i="1"/>
  <c r="G65" i="1"/>
  <c r="K66" i="1"/>
  <c r="L65" i="1"/>
  <c r="I65" i="1" l="1"/>
  <c r="J65" i="1" s="1"/>
  <c r="N65" i="1"/>
  <c r="O65" i="1" s="1"/>
  <c r="A67" i="1"/>
  <c r="E64" i="1"/>
  <c r="P64" i="1" s="1"/>
  <c r="Q64" i="1"/>
  <c r="C65" i="1"/>
  <c r="D65" i="1"/>
  <c r="E65" i="1" s="1"/>
  <c r="K67" i="1"/>
  <c r="L66" i="1"/>
  <c r="F67" i="1"/>
  <c r="G66" i="1"/>
  <c r="Q65" i="1" l="1"/>
  <c r="P65" i="1"/>
  <c r="N66" i="1"/>
  <c r="O66" i="1" s="1"/>
  <c r="I66" i="1"/>
  <c r="J66" i="1" s="1"/>
  <c r="A68" i="1"/>
  <c r="D66" i="1"/>
  <c r="C66" i="1"/>
  <c r="K68" i="1"/>
  <c r="L67" i="1"/>
  <c r="G67" i="1"/>
  <c r="F68" i="1"/>
  <c r="N67" i="1" l="1"/>
  <c r="O67" i="1" s="1"/>
  <c r="I67" i="1"/>
  <c r="J67" i="1" s="1"/>
  <c r="E66" i="1"/>
  <c r="P66" i="1" s="1"/>
  <c r="Q66" i="1"/>
  <c r="A69" i="1"/>
  <c r="C67" i="1"/>
  <c r="D67" i="1"/>
  <c r="L68" i="1"/>
  <c r="K69" i="1"/>
  <c r="F69" i="1"/>
  <c r="G68" i="1"/>
  <c r="N68" i="1" l="1"/>
  <c r="O68" i="1" s="1"/>
  <c r="I68" i="1"/>
  <c r="J68" i="1" s="1"/>
  <c r="E67" i="1"/>
  <c r="P67" i="1" s="1"/>
  <c r="Q67" i="1"/>
  <c r="A70" i="1"/>
  <c r="C68" i="1"/>
  <c r="D68" i="1"/>
  <c r="L69" i="1"/>
  <c r="F70" i="1"/>
  <c r="K70" i="1"/>
  <c r="G69" i="1"/>
  <c r="I69" i="1" l="1"/>
  <c r="J69" i="1" s="1"/>
  <c r="N69" i="1"/>
  <c r="O69" i="1" s="1"/>
  <c r="E68" i="1"/>
  <c r="P68" i="1" s="1"/>
  <c r="Q68" i="1"/>
  <c r="C69" i="1"/>
  <c r="D69" i="1"/>
  <c r="A71" i="1"/>
  <c r="K71" i="1"/>
  <c r="F71" i="1"/>
  <c r="G70" i="1"/>
  <c r="L70" i="1"/>
  <c r="I70" i="1" l="1"/>
  <c r="J70" i="1" s="1"/>
  <c r="N70" i="1"/>
  <c r="O70" i="1" s="1"/>
  <c r="C70" i="1"/>
  <c r="D70" i="1"/>
  <c r="E69" i="1"/>
  <c r="P69" i="1" s="1"/>
  <c r="Q69" i="1"/>
  <c r="A72" i="1"/>
  <c r="G71" i="1"/>
  <c r="K72" i="1"/>
  <c r="F72" i="1"/>
  <c r="L71" i="1"/>
  <c r="N71" i="1" l="1"/>
  <c r="O71" i="1" s="1"/>
  <c r="I71" i="1"/>
  <c r="J71" i="1" s="1"/>
  <c r="A73" i="1"/>
  <c r="E70" i="1"/>
  <c r="P70" i="1" s="1"/>
  <c r="Q70" i="1"/>
  <c r="C71" i="1"/>
  <c r="D71" i="1"/>
  <c r="F73" i="1"/>
  <c r="K73" i="1"/>
  <c r="G72" i="1"/>
  <c r="L72" i="1"/>
  <c r="N72" i="1" l="1"/>
  <c r="O72" i="1" s="1"/>
  <c r="I72" i="1"/>
  <c r="J72" i="1" s="1"/>
  <c r="E71" i="1"/>
  <c r="P71" i="1" s="1"/>
  <c r="Q71" i="1"/>
  <c r="C72" i="1"/>
  <c r="D72" i="1"/>
  <c r="A74" i="1"/>
  <c r="L73" i="1"/>
  <c r="F74" i="1"/>
  <c r="G73" i="1"/>
  <c r="K74" i="1"/>
  <c r="I73" i="1" l="1"/>
  <c r="J73" i="1" s="1"/>
  <c r="N73" i="1"/>
  <c r="O73" i="1" s="1"/>
  <c r="C73" i="1"/>
  <c r="D73" i="1"/>
  <c r="A75" i="1"/>
  <c r="E72" i="1"/>
  <c r="P72" i="1" s="1"/>
  <c r="Q72" i="1"/>
  <c r="L74" i="1"/>
  <c r="G74" i="1"/>
  <c r="F75" i="1"/>
  <c r="K75" i="1"/>
  <c r="I74" i="1" l="1"/>
  <c r="J74" i="1" s="1"/>
  <c r="N74" i="1"/>
  <c r="O74" i="1" s="1"/>
  <c r="C74" i="1"/>
  <c r="D74" i="1"/>
  <c r="A76" i="1"/>
  <c r="E73" i="1"/>
  <c r="P73" i="1" s="1"/>
  <c r="Q73" i="1"/>
  <c r="G75" i="1"/>
  <c r="K76" i="1"/>
  <c r="F76" i="1"/>
  <c r="L75" i="1"/>
  <c r="N75" i="1" l="1"/>
  <c r="O75" i="1" s="1"/>
  <c r="I75" i="1"/>
  <c r="J75" i="1" s="1"/>
  <c r="A77" i="1"/>
  <c r="D75" i="1"/>
  <c r="C75" i="1"/>
  <c r="E74" i="1"/>
  <c r="P74" i="1" s="1"/>
  <c r="Q74" i="1"/>
  <c r="F77" i="1"/>
  <c r="L76" i="1"/>
  <c r="G76" i="1"/>
  <c r="K77" i="1"/>
  <c r="I76" i="1" l="1"/>
  <c r="J76" i="1" s="1"/>
  <c r="N76" i="1"/>
  <c r="O76" i="1" s="1"/>
  <c r="E75" i="1"/>
  <c r="P75" i="1" s="1"/>
  <c r="Q75" i="1"/>
  <c r="A78" i="1"/>
  <c r="C76" i="1"/>
  <c r="D76" i="1"/>
  <c r="L77" i="1"/>
  <c r="G77" i="1"/>
  <c r="K78" i="1"/>
  <c r="F78" i="1"/>
  <c r="I77" i="1" l="1"/>
  <c r="J77" i="1" s="1"/>
  <c r="N77" i="1"/>
  <c r="O77" i="1" s="1"/>
  <c r="D77" i="1"/>
  <c r="C77" i="1"/>
  <c r="E76" i="1"/>
  <c r="P76" i="1" s="1"/>
  <c r="Q76" i="1"/>
  <c r="A79" i="1"/>
  <c r="G78" i="1"/>
  <c r="F79" i="1"/>
  <c r="L78" i="1"/>
  <c r="K79" i="1"/>
  <c r="I78" i="1" l="1"/>
  <c r="J78" i="1" s="1"/>
  <c r="N78" i="1"/>
  <c r="O78" i="1" s="1"/>
  <c r="A80" i="1"/>
  <c r="E77" i="1"/>
  <c r="P77" i="1" s="1"/>
  <c r="Q77" i="1"/>
  <c r="C78" i="1"/>
  <c r="D78" i="1"/>
  <c r="L79" i="1"/>
  <c r="K80" i="1"/>
  <c r="G79" i="1"/>
  <c r="F80" i="1"/>
  <c r="I79" i="1" l="1"/>
  <c r="J79" i="1" s="1"/>
  <c r="N79" i="1"/>
  <c r="O79" i="1" s="1"/>
  <c r="E78" i="1"/>
  <c r="P78" i="1" s="1"/>
  <c r="Q78" i="1"/>
  <c r="C79" i="1"/>
  <c r="D79" i="1"/>
  <c r="A81" i="1"/>
  <c r="K81" i="1"/>
  <c r="G80" i="1"/>
  <c r="L80" i="1"/>
  <c r="F81" i="1"/>
  <c r="N80" i="1" l="1"/>
  <c r="O80" i="1" s="1"/>
  <c r="I80" i="1"/>
  <c r="J80" i="1" s="1"/>
  <c r="C80" i="1"/>
  <c r="D80" i="1"/>
  <c r="A82" i="1"/>
  <c r="Q79" i="1"/>
  <c r="E79" i="1"/>
  <c r="P79" i="1" s="1"/>
  <c r="G81" i="1"/>
  <c r="L81" i="1"/>
  <c r="F82" i="1"/>
  <c r="K82" i="1"/>
  <c r="N81" i="1" l="1"/>
  <c r="O81" i="1" s="1"/>
  <c r="I81" i="1"/>
  <c r="J81" i="1" s="1"/>
  <c r="A83" i="1"/>
  <c r="E80" i="1"/>
  <c r="P80" i="1" s="1"/>
  <c r="Q80" i="1"/>
  <c r="C81" i="1"/>
  <c r="Q81" i="1" s="1"/>
  <c r="D81" i="1"/>
  <c r="E81" i="1" s="1"/>
  <c r="P81" i="1" s="1"/>
  <c r="G82" i="1"/>
  <c r="L82" i="1"/>
  <c r="F83" i="1"/>
  <c r="K83" i="1"/>
  <c r="N82" i="1" l="1"/>
  <c r="O82" i="1" s="1"/>
  <c r="I82" i="1"/>
  <c r="J82" i="1" s="1"/>
  <c r="A84" i="1"/>
  <c r="C82" i="1"/>
  <c r="D82" i="1"/>
  <c r="G83" i="1"/>
  <c r="F84" i="1"/>
  <c r="K84" i="1"/>
  <c r="L83" i="1"/>
  <c r="N83" i="1" l="1"/>
  <c r="O83" i="1" s="1"/>
  <c r="I83" i="1"/>
  <c r="J83" i="1" s="1"/>
  <c r="A85" i="1"/>
  <c r="E82" i="1"/>
  <c r="P82" i="1" s="1"/>
  <c r="Q82" i="1"/>
  <c r="C83" i="1"/>
  <c r="D83" i="1"/>
  <c r="G84" i="1"/>
  <c r="K85" i="1"/>
  <c r="L84" i="1"/>
  <c r="F85" i="1"/>
  <c r="N84" i="1" l="1"/>
  <c r="O84" i="1" s="1"/>
  <c r="I84" i="1"/>
  <c r="J84" i="1" s="1"/>
  <c r="E83" i="1"/>
  <c r="P83" i="1" s="1"/>
  <c r="Q83" i="1"/>
  <c r="A86" i="1"/>
  <c r="D84" i="1"/>
  <c r="C84" i="1"/>
  <c r="F86" i="1"/>
  <c r="L85" i="1"/>
  <c r="G85" i="1"/>
  <c r="K86" i="1"/>
  <c r="I85" i="1" l="1"/>
  <c r="J85" i="1" s="1"/>
  <c r="N85" i="1"/>
  <c r="O85" i="1" s="1"/>
  <c r="A87" i="1"/>
  <c r="E84" i="1"/>
  <c r="P84" i="1" s="1"/>
  <c r="Q84" i="1"/>
  <c r="C85" i="1"/>
  <c r="D85" i="1"/>
  <c r="K87" i="1"/>
  <c r="F87" i="1"/>
  <c r="L86" i="1"/>
  <c r="G86" i="1"/>
  <c r="N86" i="1" l="1"/>
  <c r="O86" i="1" s="1"/>
  <c r="I86" i="1"/>
  <c r="J86" i="1" s="1"/>
  <c r="E85" i="1"/>
  <c r="P85" i="1" s="1"/>
  <c r="Q85" i="1"/>
  <c r="D86" i="1"/>
  <c r="C86" i="1"/>
  <c r="A88" i="1"/>
  <c r="L87" i="1"/>
  <c r="K88" i="1"/>
  <c r="G87" i="1"/>
  <c r="F88" i="1"/>
  <c r="I87" i="1" l="1"/>
  <c r="J87" i="1" s="1"/>
  <c r="N87" i="1"/>
  <c r="O87" i="1" s="1"/>
  <c r="A89" i="1"/>
  <c r="E86" i="1"/>
  <c r="P86" i="1" s="1"/>
  <c r="Q86" i="1"/>
  <c r="C87" i="1"/>
  <c r="D87" i="1"/>
  <c r="L88" i="1"/>
  <c r="F89" i="1"/>
  <c r="K89" i="1"/>
  <c r="G88" i="1"/>
  <c r="N88" i="1" l="1"/>
  <c r="O88" i="1" s="1"/>
  <c r="I88" i="1"/>
  <c r="J88" i="1" s="1"/>
  <c r="D88" i="1"/>
  <c r="C88" i="1"/>
  <c r="A90" i="1"/>
  <c r="E87" i="1"/>
  <c r="P87" i="1" s="1"/>
  <c r="Q87" i="1"/>
  <c r="L89" i="1"/>
  <c r="F90" i="1"/>
  <c r="K90" i="1"/>
  <c r="G89" i="1"/>
  <c r="I89" i="1" l="1"/>
  <c r="J89" i="1" s="1"/>
  <c r="N89" i="1"/>
  <c r="O89" i="1" s="1"/>
  <c r="C89" i="1"/>
  <c r="D89" i="1"/>
  <c r="A91" i="1"/>
  <c r="E88" i="1"/>
  <c r="P88" i="1" s="1"/>
  <c r="Q88" i="1"/>
  <c r="L90" i="1"/>
  <c r="K91" i="1"/>
  <c r="G90" i="1"/>
  <c r="F91" i="1"/>
  <c r="I90" i="1" l="1"/>
  <c r="J90" i="1" s="1"/>
  <c r="N90" i="1"/>
  <c r="O90" i="1" s="1"/>
  <c r="C90" i="1"/>
  <c r="D90" i="1"/>
  <c r="E89" i="1"/>
  <c r="P89" i="1" s="1"/>
  <c r="Q89" i="1"/>
  <c r="A92" i="1"/>
  <c r="G91" i="1"/>
  <c r="L91" i="1"/>
  <c r="K92" i="1"/>
  <c r="F92" i="1"/>
  <c r="N91" i="1" l="1"/>
  <c r="O91" i="1" s="1"/>
  <c r="I91" i="1"/>
  <c r="J91" i="1" s="1"/>
  <c r="A93" i="1"/>
  <c r="D91" i="1"/>
  <c r="C91" i="1"/>
  <c r="E90" i="1"/>
  <c r="P90" i="1" s="1"/>
  <c r="Q90" i="1"/>
  <c r="L92" i="1"/>
  <c r="F93" i="1"/>
  <c r="K93" i="1"/>
  <c r="G92" i="1"/>
  <c r="I92" i="1" l="1"/>
  <c r="J92" i="1" s="1"/>
  <c r="N92" i="1"/>
  <c r="O92" i="1" s="1"/>
  <c r="E91" i="1"/>
  <c r="P91" i="1" s="1"/>
  <c r="Q91" i="1"/>
  <c r="C92" i="1"/>
  <c r="D92" i="1"/>
  <c r="A94" i="1"/>
  <c r="L93" i="1"/>
  <c r="G93" i="1"/>
  <c r="K94" i="1"/>
  <c r="F94" i="1"/>
  <c r="I93" i="1" l="1"/>
  <c r="J93" i="1" s="1"/>
  <c r="N93" i="1"/>
  <c r="O93" i="1" s="1"/>
  <c r="C93" i="1"/>
  <c r="Q93" i="1" s="1"/>
  <c r="D93" i="1"/>
  <c r="A95" i="1"/>
  <c r="E92" i="1"/>
  <c r="P92" i="1" s="1"/>
  <c r="Q92" i="1"/>
  <c r="K95" i="1"/>
  <c r="L94" i="1"/>
  <c r="F95" i="1"/>
  <c r="G94" i="1"/>
  <c r="E93" i="1" l="1"/>
  <c r="P93" i="1" s="1"/>
  <c r="I94" i="1"/>
  <c r="J94" i="1" s="1"/>
  <c r="N94" i="1"/>
  <c r="O94" i="1" s="1"/>
  <c r="C94" i="1"/>
  <c r="D94" i="1"/>
  <c r="A96" i="1"/>
  <c r="L95" i="1"/>
  <c r="G95" i="1"/>
  <c r="K96" i="1"/>
  <c r="F96" i="1"/>
  <c r="N95" i="1" l="1"/>
  <c r="O95" i="1" s="1"/>
  <c r="I95" i="1"/>
  <c r="J95" i="1" s="1"/>
  <c r="D95" i="1"/>
  <c r="C95" i="1"/>
  <c r="A97" i="1"/>
  <c r="E94" i="1"/>
  <c r="P94" i="1" s="1"/>
  <c r="Q94" i="1"/>
  <c r="L96" i="1"/>
  <c r="F97" i="1"/>
  <c r="K97" i="1"/>
  <c r="G96" i="1"/>
  <c r="Q95" i="1" l="1"/>
  <c r="N96" i="1"/>
  <c r="O96" i="1" s="1"/>
  <c r="I96" i="1"/>
  <c r="J96" i="1" s="1"/>
  <c r="E95" i="1"/>
  <c r="P95" i="1" s="1"/>
  <c r="C96" i="1"/>
  <c r="D96" i="1"/>
  <c r="A98" i="1"/>
  <c r="L97" i="1"/>
  <c r="F98" i="1"/>
  <c r="G97" i="1"/>
  <c r="K98" i="1"/>
  <c r="N97" i="1" l="1"/>
  <c r="O97" i="1" s="1"/>
  <c r="I97" i="1"/>
  <c r="J97" i="1" s="1"/>
  <c r="A99" i="1"/>
  <c r="D97" i="1"/>
  <c r="C97" i="1"/>
  <c r="E96" i="1"/>
  <c r="P96" i="1" s="1"/>
  <c r="Q96" i="1"/>
  <c r="F99" i="1"/>
  <c r="K99" i="1"/>
  <c r="L98" i="1"/>
  <c r="G98" i="1"/>
  <c r="N98" i="1" l="1"/>
  <c r="O98" i="1" s="1"/>
  <c r="I98" i="1"/>
  <c r="J98" i="1" s="1"/>
  <c r="E97" i="1"/>
  <c r="P97" i="1" s="1"/>
  <c r="Q97" i="1"/>
  <c r="C98" i="1"/>
  <c r="D98" i="1"/>
  <c r="A100" i="1"/>
  <c r="G99" i="1"/>
  <c r="F100" i="1"/>
  <c r="K100" i="1"/>
  <c r="L99" i="1"/>
  <c r="I99" i="1" l="1"/>
  <c r="J99" i="1" s="1"/>
  <c r="N99" i="1"/>
  <c r="O99" i="1" s="1"/>
  <c r="A101" i="1"/>
  <c r="E98" i="1"/>
  <c r="P98" i="1" s="1"/>
  <c r="Q98" i="1"/>
  <c r="C99" i="1"/>
  <c r="D99" i="1"/>
  <c r="G100" i="1"/>
  <c r="L100" i="1"/>
  <c r="F101" i="1"/>
  <c r="K101" i="1"/>
  <c r="N100" i="1" l="1"/>
  <c r="O100" i="1" s="1"/>
  <c r="I100" i="1"/>
  <c r="J100" i="1" s="1"/>
  <c r="E99" i="1"/>
  <c r="P99" i="1" s="1"/>
  <c r="Q99" i="1"/>
  <c r="C100" i="1"/>
  <c r="D100" i="1"/>
  <c r="A102" i="1"/>
  <c r="L101" i="1"/>
  <c r="K102" i="1"/>
  <c r="F102" i="1"/>
  <c r="G101" i="1"/>
  <c r="I101" i="1" l="1"/>
  <c r="J101" i="1" s="1"/>
  <c r="N101" i="1"/>
  <c r="O101" i="1" s="1"/>
  <c r="A103" i="1"/>
  <c r="E100" i="1"/>
  <c r="P100" i="1" s="1"/>
  <c r="Q100" i="1"/>
  <c r="C101" i="1"/>
  <c r="Q101" i="1" s="1"/>
  <c r="D101" i="1"/>
  <c r="E101" i="1" s="1"/>
  <c r="P101" i="1" s="1"/>
  <c r="L102" i="1"/>
  <c r="F103" i="1"/>
  <c r="K103" i="1"/>
  <c r="G102" i="1"/>
  <c r="I102" i="1" l="1"/>
  <c r="J102" i="1" s="1"/>
  <c r="N102" i="1"/>
  <c r="O102" i="1" s="1"/>
  <c r="C102" i="1"/>
  <c r="D102" i="1"/>
  <c r="A104" i="1"/>
  <c r="K104" i="1"/>
  <c r="F104" i="1"/>
  <c r="G103" i="1"/>
  <c r="L103" i="1"/>
  <c r="I103" i="1" l="1"/>
  <c r="J103" i="1" s="1"/>
  <c r="N103" i="1"/>
  <c r="O103" i="1" s="1"/>
  <c r="A105" i="1"/>
  <c r="C103" i="1"/>
  <c r="D103" i="1"/>
  <c r="E103" i="1" s="1"/>
  <c r="E102" i="1"/>
  <c r="P102" i="1" s="1"/>
  <c r="Q102" i="1"/>
  <c r="G104" i="1"/>
  <c r="F105" i="1"/>
  <c r="K105" i="1"/>
  <c r="L104" i="1"/>
  <c r="N104" i="1" l="1"/>
  <c r="O104" i="1" s="1"/>
  <c r="I104" i="1"/>
  <c r="J104" i="1" s="1"/>
  <c r="P103" i="1"/>
  <c r="Q103" i="1"/>
  <c r="A106" i="1"/>
  <c r="C104" i="1"/>
  <c r="D104" i="1"/>
  <c r="G105" i="1"/>
  <c r="F106" i="1"/>
  <c r="L105" i="1"/>
  <c r="K106" i="1"/>
  <c r="N105" i="1" l="1"/>
  <c r="O105" i="1" s="1"/>
  <c r="I105" i="1"/>
  <c r="J105" i="1" s="1"/>
  <c r="E104" i="1"/>
  <c r="P104" i="1" s="1"/>
  <c r="Q104" i="1"/>
  <c r="C105" i="1"/>
  <c r="D105" i="1"/>
  <c r="A107" i="1"/>
  <c r="L106" i="1"/>
  <c r="G106" i="1"/>
  <c r="F107" i="1"/>
  <c r="K107" i="1"/>
  <c r="I106" i="1" l="1"/>
  <c r="J106" i="1" s="1"/>
  <c r="N106" i="1"/>
  <c r="O106" i="1" s="1"/>
  <c r="A108" i="1"/>
  <c r="E105" i="1"/>
  <c r="P105" i="1" s="1"/>
  <c r="Q105" i="1"/>
  <c r="C106" i="1"/>
  <c r="D106" i="1"/>
  <c r="L107" i="1"/>
  <c r="K108" i="1"/>
  <c r="F108" i="1"/>
  <c r="G107" i="1"/>
  <c r="I107" i="1" l="1"/>
  <c r="J107" i="1" s="1"/>
  <c r="N107" i="1"/>
  <c r="O107" i="1" s="1"/>
  <c r="E106" i="1"/>
  <c r="P106" i="1" s="1"/>
  <c r="Q106" i="1"/>
  <c r="C107" i="1"/>
  <c r="D107" i="1"/>
  <c r="A109" i="1"/>
  <c r="G108" i="1"/>
  <c r="L108" i="1"/>
  <c r="F109" i="1"/>
  <c r="K109" i="1"/>
  <c r="N108" i="1" l="1"/>
  <c r="O108" i="1" s="1"/>
  <c r="I108" i="1"/>
  <c r="J108" i="1" s="1"/>
  <c r="A110" i="1"/>
  <c r="E107" i="1"/>
  <c r="P107" i="1" s="1"/>
  <c r="Q107" i="1"/>
  <c r="D108" i="1"/>
  <c r="C108" i="1"/>
  <c r="G109" i="1"/>
  <c r="K110" i="1"/>
  <c r="F110" i="1"/>
  <c r="L109" i="1"/>
  <c r="N109" i="1" l="1"/>
  <c r="O109" i="1" s="1"/>
  <c r="I109" i="1"/>
  <c r="J109" i="1" s="1"/>
  <c r="E108" i="1"/>
  <c r="P108" i="1" s="1"/>
  <c r="Q108" i="1"/>
  <c r="C109" i="1"/>
  <c r="D109" i="1"/>
  <c r="E109" i="1" s="1"/>
  <c r="A111" i="1"/>
  <c r="G110" i="1"/>
  <c r="L110" i="1"/>
  <c r="F111" i="1"/>
  <c r="K111" i="1"/>
  <c r="N110" i="1" l="1"/>
  <c r="O110" i="1" s="1"/>
  <c r="I110" i="1"/>
  <c r="J110" i="1" s="1"/>
  <c r="P109" i="1"/>
  <c r="Q109" i="1"/>
  <c r="D110" i="1"/>
  <c r="C110" i="1"/>
  <c r="A112" i="1"/>
  <c r="L111" i="1"/>
  <c r="G111" i="1"/>
  <c r="F112" i="1"/>
  <c r="K112" i="1"/>
  <c r="I111" i="1" l="1"/>
  <c r="J111" i="1" s="1"/>
  <c r="N111" i="1"/>
  <c r="O111" i="1" s="1"/>
  <c r="C111" i="1"/>
  <c r="D111" i="1"/>
  <c r="A113" i="1"/>
  <c r="E110" i="1"/>
  <c r="P110" i="1" s="1"/>
  <c r="Q110" i="1"/>
  <c r="L112" i="1"/>
  <c r="G112" i="1"/>
  <c r="K113" i="1"/>
  <c r="F113" i="1"/>
  <c r="I112" i="1" l="1"/>
  <c r="J112" i="1" s="1"/>
  <c r="N112" i="1"/>
  <c r="O112" i="1" s="1"/>
  <c r="C112" i="1"/>
  <c r="D112" i="1"/>
  <c r="A114" i="1"/>
  <c r="E111" i="1"/>
  <c r="P111" i="1" s="1"/>
  <c r="Q111" i="1"/>
  <c r="L113" i="1"/>
  <c r="G113" i="1"/>
  <c r="K114" i="1"/>
  <c r="F114" i="1"/>
  <c r="I113" i="1" l="1"/>
  <c r="J113" i="1" s="1"/>
  <c r="N113" i="1"/>
  <c r="O113" i="1" s="1"/>
  <c r="C113" i="1"/>
  <c r="D113" i="1"/>
  <c r="A115" i="1"/>
  <c r="E112" i="1"/>
  <c r="P112" i="1" s="1"/>
  <c r="Q112" i="1"/>
  <c r="L114" i="1"/>
  <c r="K115" i="1"/>
  <c r="G114" i="1"/>
  <c r="F115" i="1"/>
  <c r="I114" i="1" l="1"/>
  <c r="J114" i="1" s="1"/>
  <c r="N114" i="1"/>
  <c r="O114" i="1" s="1"/>
  <c r="C114" i="1"/>
  <c r="D114" i="1"/>
  <c r="A116" i="1"/>
  <c r="E113" i="1"/>
  <c r="P113" i="1" s="1"/>
  <c r="Q113" i="1"/>
  <c r="G115" i="1"/>
  <c r="F116" i="1"/>
  <c r="L115" i="1"/>
  <c r="K116" i="1"/>
  <c r="N115" i="1" l="1"/>
  <c r="O115" i="1" s="1"/>
  <c r="I115" i="1"/>
  <c r="J115" i="1" s="1"/>
  <c r="C115" i="1"/>
  <c r="D115" i="1"/>
  <c r="A117" i="1"/>
  <c r="E114" i="1"/>
  <c r="P114" i="1" s="1"/>
  <c r="Q114" i="1"/>
  <c r="L116" i="1"/>
  <c r="G116" i="1"/>
  <c r="F117" i="1"/>
  <c r="K117" i="1"/>
  <c r="I116" i="1" l="1"/>
  <c r="J116" i="1" s="1"/>
  <c r="N116" i="1"/>
  <c r="O116" i="1" s="1"/>
  <c r="A118" i="1"/>
  <c r="E115" i="1"/>
  <c r="P115" i="1" s="1"/>
  <c r="Q115" i="1"/>
  <c r="C116" i="1"/>
  <c r="D116" i="1"/>
  <c r="L117" i="1"/>
  <c r="K118" i="1"/>
  <c r="G117" i="1"/>
  <c r="F118" i="1"/>
  <c r="N117" i="1" l="1"/>
  <c r="O117" i="1" s="1"/>
  <c r="I117" i="1"/>
  <c r="J117" i="1" s="1"/>
  <c r="E116" i="1"/>
  <c r="P116" i="1" s="1"/>
  <c r="Q116" i="1"/>
  <c r="C117" i="1"/>
  <c r="D117" i="1"/>
  <c r="A119" i="1"/>
  <c r="F119" i="1"/>
  <c r="G118" i="1"/>
  <c r="K119" i="1"/>
  <c r="L118" i="1"/>
  <c r="Q117" i="1" l="1"/>
  <c r="I118" i="1"/>
  <c r="J118" i="1" s="1"/>
  <c r="N118" i="1"/>
  <c r="O118" i="1" s="1"/>
  <c r="E117" i="1"/>
  <c r="P117" i="1" s="1"/>
  <c r="A120" i="1"/>
  <c r="A121" i="1" s="1"/>
  <c r="C118" i="1"/>
  <c r="D118" i="1"/>
  <c r="L119" i="1"/>
  <c r="G119" i="1"/>
  <c r="K120" i="1"/>
  <c r="K121" i="1"/>
  <c r="F120" i="1"/>
  <c r="F121" i="1"/>
  <c r="I119" i="1" l="1"/>
  <c r="J119" i="1" s="1"/>
  <c r="N119" i="1"/>
  <c r="O119" i="1" s="1"/>
  <c r="A122" i="1"/>
  <c r="E118" i="1"/>
  <c r="P118" i="1" s="1"/>
  <c r="Q118" i="1"/>
  <c r="D119" i="1"/>
  <c r="C119" i="1"/>
  <c r="G121" i="1"/>
  <c r="K122" i="1"/>
  <c r="L120" i="1"/>
  <c r="L121" i="1"/>
  <c r="F122" i="1"/>
  <c r="G120" i="1"/>
  <c r="N121" i="1" l="1"/>
  <c r="O121" i="1" s="1"/>
  <c r="I121" i="1"/>
  <c r="J121" i="1" s="1"/>
  <c r="I120" i="1"/>
  <c r="J120" i="1" s="1"/>
  <c r="N120" i="1"/>
  <c r="O120" i="1" s="1"/>
  <c r="C121" i="1"/>
  <c r="Q121" i="1" s="1"/>
  <c r="D121" i="1"/>
  <c r="E121" i="1" s="1"/>
  <c r="P121" i="1" s="1"/>
  <c r="A123" i="1"/>
  <c r="C120" i="1"/>
  <c r="D120" i="1"/>
  <c r="E119" i="1"/>
  <c r="P119" i="1" s="1"/>
  <c r="Q119" i="1"/>
  <c r="F123" i="1"/>
  <c r="K123" i="1"/>
  <c r="L122" i="1"/>
  <c r="G122" i="1"/>
  <c r="N122" i="1" l="1"/>
  <c r="O122" i="1" s="1"/>
  <c r="I122" i="1"/>
  <c r="J122" i="1" s="1"/>
  <c r="C122" i="1"/>
  <c r="Q122" i="1" s="1"/>
  <c r="D122" i="1"/>
  <c r="A124" i="1"/>
  <c r="E120" i="1"/>
  <c r="P120" i="1" s="1"/>
  <c r="Q120" i="1"/>
  <c r="L123" i="1"/>
  <c r="K124" i="1"/>
  <c r="F124" i="1"/>
  <c r="G123" i="1"/>
  <c r="I123" i="1" l="1"/>
  <c r="J123" i="1" s="1"/>
  <c r="N123" i="1"/>
  <c r="O123" i="1" s="1"/>
  <c r="A125" i="1"/>
  <c r="D123" i="1"/>
  <c r="C123" i="1"/>
  <c r="E122" i="1"/>
  <c r="P122" i="1" s="1"/>
  <c r="L124" i="1"/>
  <c r="K125" i="1"/>
  <c r="G124" i="1"/>
  <c r="F125" i="1"/>
  <c r="N124" i="1" l="1"/>
  <c r="O124" i="1" s="1"/>
  <c r="I124" i="1"/>
  <c r="J124" i="1" s="1"/>
  <c r="A126" i="1"/>
  <c r="E123" i="1"/>
  <c r="P123" i="1" s="1"/>
  <c r="Q123" i="1"/>
  <c r="C124" i="1"/>
  <c r="D124" i="1"/>
  <c r="G125" i="1"/>
  <c r="F126" i="1"/>
  <c r="K126" i="1"/>
  <c r="L125" i="1"/>
  <c r="N125" i="1" l="1"/>
  <c r="O125" i="1" s="1"/>
  <c r="I125" i="1"/>
  <c r="J125" i="1" s="1"/>
  <c r="A127" i="1"/>
  <c r="C125" i="1"/>
  <c r="D125" i="1"/>
  <c r="E124" i="1"/>
  <c r="P124" i="1" s="1"/>
  <c r="Q124" i="1"/>
  <c r="L126" i="1"/>
  <c r="G126" i="1"/>
  <c r="K127" i="1"/>
  <c r="F127" i="1"/>
  <c r="N126" i="1" l="1"/>
  <c r="O126" i="1" s="1"/>
  <c r="I126" i="1"/>
  <c r="J126" i="1" s="1"/>
  <c r="A128" i="1"/>
  <c r="C126" i="1"/>
  <c r="D126" i="1"/>
  <c r="E126" i="1" s="1"/>
  <c r="P126" i="1" s="1"/>
  <c r="E125" i="1"/>
  <c r="P125" i="1" s="1"/>
  <c r="Q125" i="1"/>
  <c r="F128" i="1"/>
  <c r="K128" i="1"/>
  <c r="L127" i="1"/>
  <c r="G127" i="1"/>
  <c r="Q126" i="1" l="1"/>
  <c r="I127" i="1"/>
  <c r="J127" i="1" s="1"/>
  <c r="N127" i="1"/>
  <c r="O127" i="1" s="1"/>
  <c r="A129" i="1"/>
  <c r="D127" i="1"/>
  <c r="C127" i="1"/>
  <c r="L128" i="1"/>
  <c r="G128" i="1"/>
  <c r="F129" i="1"/>
  <c r="K129" i="1"/>
  <c r="I128" i="1" l="1"/>
  <c r="J128" i="1" s="1"/>
  <c r="N128" i="1"/>
  <c r="O128" i="1" s="1"/>
  <c r="E127" i="1"/>
  <c r="P127" i="1" s="1"/>
  <c r="Q127" i="1"/>
  <c r="A130" i="1"/>
  <c r="C128" i="1"/>
  <c r="D128" i="1"/>
  <c r="G129" i="1"/>
  <c r="F130" i="1"/>
  <c r="K130" i="1"/>
  <c r="L129" i="1"/>
  <c r="I129" i="1" l="1"/>
  <c r="J129" i="1" s="1"/>
  <c r="N129" i="1"/>
  <c r="O129" i="1" s="1"/>
  <c r="A131" i="1"/>
  <c r="Q128" i="1"/>
  <c r="E128" i="1"/>
  <c r="P128" i="1" s="1"/>
  <c r="C129" i="1"/>
  <c r="D129" i="1"/>
  <c r="L130" i="1"/>
  <c r="F131" i="1"/>
  <c r="K131" i="1"/>
  <c r="G130" i="1"/>
  <c r="I130" i="1" l="1"/>
  <c r="J130" i="1" s="1"/>
  <c r="N130" i="1"/>
  <c r="O130" i="1" s="1"/>
  <c r="A132" i="1"/>
  <c r="C130" i="1"/>
  <c r="D130" i="1"/>
  <c r="Q129" i="1"/>
  <c r="E129" i="1"/>
  <c r="P129" i="1" s="1"/>
  <c r="G131" i="1"/>
  <c r="K132" i="1"/>
  <c r="F132" i="1"/>
  <c r="L131" i="1"/>
  <c r="N131" i="1" l="1"/>
  <c r="O131" i="1" s="1"/>
  <c r="I131" i="1"/>
  <c r="J131" i="1" s="1"/>
  <c r="Q130" i="1"/>
  <c r="E130" i="1"/>
  <c r="P130" i="1" s="1"/>
  <c r="A133" i="1"/>
  <c r="D131" i="1"/>
  <c r="C131" i="1"/>
  <c r="L132" i="1"/>
  <c r="K133" i="1"/>
  <c r="G132" i="1"/>
  <c r="F133" i="1"/>
  <c r="I132" i="1" l="1"/>
  <c r="J132" i="1" s="1"/>
  <c r="N132" i="1"/>
  <c r="O132" i="1" s="1"/>
  <c r="A134" i="1"/>
  <c r="C132" i="1"/>
  <c r="D132" i="1"/>
  <c r="E131" i="1"/>
  <c r="P131" i="1" s="1"/>
  <c r="Q131" i="1"/>
  <c r="K134" i="1"/>
  <c r="L133" i="1"/>
  <c r="F134" i="1"/>
  <c r="G133" i="1"/>
  <c r="I133" i="1" l="1"/>
  <c r="J133" i="1" s="1"/>
  <c r="N133" i="1"/>
  <c r="O133" i="1" s="1"/>
  <c r="C133" i="1"/>
  <c r="D133" i="1"/>
  <c r="E132" i="1"/>
  <c r="P132" i="1" s="1"/>
  <c r="Q132" i="1"/>
  <c r="A135" i="1"/>
  <c r="F135" i="1"/>
  <c r="K135" i="1"/>
  <c r="L134" i="1"/>
  <c r="G134" i="1"/>
  <c r="I134" i="1" l="1"/>
  <c r="J134" i="1" s="1"/>
  <c r="N134" i="1"/>
  <c r="O134" i="1" s="1"/>
  <c r="E133" i="1"/>
  <c r="P133" i="1" s="1"/>
  <c r="Q133" i="1"/>
  <c r="A136" i="1"/>
  <c r="D134" i="1"/>
  <c r="C134" i="1"/>
  <c r="F136" i="1"/>
  <c r="K136" i="1"/>
  <c r="L135" i="1"/>
  <c r="G135" i="1"/>
  <c r="I135" i="1" l="1"/>
  <c r="J135" i="1" s="1"/>
  <c r="N135" i="1"/>
  <c r="O135" i="1" s="1"/>
  <c r="A137" i="1"/>
  <c r="C135" i="1"/>
  <c r="D135" i="1"/>
  <c r="Q134" i="1"/>
  <c r="E134" i="1"/>
  <c r="P134" i="1" s="1"/>
  <c r="F137" i="1"/>
  <c r="L136" i="1"/>
  <c r="K137" i="1"/>
  <c r="G136" i="1"/>
  <c r="I136" i="1" l="1"/>
  <c r="J136" i="1" s="1"/>
  <c r="N136" i="1"/>
  <c r="O136" i="1" s="1"/>
  <c r="E135" i="1"/>
  <c r="P135" i="1" s="1"/>
  <c r="Q135" i="1"/>
  <c r="C136" i="1"/>
  <c r="D136" i="1"/>
  <c r="A138" i="1"/>
  <c r="F138" i="1"/>
  <c r="L137" i="1"/>
  <c r="G137" i="1"/>
  <c r="K138" i="1"/>
  <c r="I137" i="1" l="1"/>
  <c r="J137" i="1" s="1"/>
  <c r="N137" i="1"/>
  <c r="O137" i="1" s="1"/>
  <c r="E136" i="1"/>
  <c r="P136" i="1" s="1"/>
  <c r="Q136" i="1"/>
  <c r="D137" i="1"/>
  <c r="C137" i="1"/>
  <c r="A139" i="1"/>
  <c r="L138" i="1"/>
  <c r="G138" i="1"/>
  <c r="K139" i="1"/>
  <c r="F139" i="1"/>
  <c r="I138" i="1" l="1"/>
  <c r="J138" i="1" s="1"/>
  <c r="N138" i="1"/>
  <c r="O138" i="1" s="1"/>
  <c r="Q137" i="1"/>
  <c r="E137" i="1"/>
  <c r="P137" i="1" s="1"/>
  <c r="A140" i="1"/>
  <c r="C138" i="1"/>
  <c r="D138" i="1"/>
  <c r="G139" i="1"/>
  <c r="K140" i="1"/>
  <c r="L139" i="1"/>
  <c r="F140" i="1"/>
  <c r="N139" i="1" l="1"/>
  <c r="O139" i="1" s="1"/>
  <c r="I139" i="1"/>
  <c r="J139" i="1" s="1"/>
  <c r="C139" i="1"/>
  <c r="D139" i="1"/>
  <c r="E138" i="1"/>
  <c r="P138" i="1" s="1"/>
  <c r="Q138" i="1"/>
  <c r="G140" i="1"/>
  <c r="L140" i="1"/>
  <c r="N140" i="1" l="1"/>
  <c r="O140" i="1" s="1"/>
  <c r="I140" i="1"/>
  <c r="J140" i="1" s="1"/>
  <c r="Q139" i="1"/>
  <c r="E139" i="1"/>
  <c r="P139" i="1" s="1"/>
  <c r="D140" i="1"/>
  <c r="C140" i="1"/>
  <c r="Q140" i="1" l="1"/>
  <c r="E140" i="1"/>
  <c r="P140" i="1" s="1"/>
</calcChain>
</file>

<file path=xl/sharedStrings.xml><?xml version="1.0" encoding="utf-8"?>
<sst xmlns="http://schemas.openxmlformats.org/spreadsheetml/2006/main" count="30" uniqueCount="28">
  <si>
    <t>b</t>
  </si>
  <si>
    <t>h</t>
  </si>
  <si>
    <t>Layer</t>
  </si>
  <si>
    <t>Quantity</t>
  </si>
  <si>
    <t>Ø</t>
  </si>
  <si>
    <t>As</t>
  </si>
  <si>
    <t>d</t>
  </si>
  <si>
    <t>c</t>
  </si>
  <si>
    <t>a</t>
  </si>
  <si>
    <t>Column Interaction Diagram</t>
  </si>
  <si>
    <t>Cc</t>
  </si>
  <si>
    <t>f'c</t>
  </si>
  <si>
    <t>fy</t>
  </si>
  <si>
    <t>ß1</t>
  </si>
  <si>
    <t>fs1</t>
  </si>
  <si>
    <t>fs1 (corrected)</t>
  </si>
  <si>
    <t>fs2</t>
  </si>
  <si>
    <t>fs2 (corrected)</t>
  </si>
  <si>
    <t>arm</t>
  </si>
  <si>
    <t>F1</t>
  </si>
  <si>
    <t>M1</t>
  </si>
  <si>
    <t>M2</t>
  </si>
  <si>
    <t>F2</t>
  </si>
  <si>
    <t>Mc</t>
  </si>
  <si>
    <t>Pn</t>
  </si>
  <si>
    <t>Mn</t>
  </si>
  <si>
    <t>Iteration increment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</si>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</sst>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/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Pn vs 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Sheet1!$P$21:$P$141</c:f>
              <c:numCache>
                <c:formatCode>0.00</c:formatCode>
                <c:ptCount val="121"/>
                <c:pt idx="0">
                  <c:v>1.8062469293773174E-3</c:v>
                </c:pt>
                <c:pt idx="1">
                  <c:v>8.9562599156793734</c:v>
                </c:pt>
                <c:pt idx="2">
                  <c:v>17.757182334429384</c:v>
                </c:pt>
                <c:pt idx="3">
                  <c:v>26.404573503179378</c:v>
                </c:pt>
                <c:pt idx="4">
                  <c:v>34.898433421929376</c:v>
                </c:pt>
                <c:pt idx="5">
                  <c:v>43.23876209067938</c:v>
                </c:pt>
                <c:pt idx="6">
                  <c:v>51.42555950942937</c:v>
                </c:pt>
                <c:pt idx="7">
                  <c:v>59.45882567817938</c:v>
                </c:pt>
                <c:pt idx="8">
                  <c:v>67.338560596929369</c:v>
                </c:pt>
                <c:pt idx="9">
                  <c:v>75.064764265679372</c:v>
                </c:pt>
                <c:pt idx="10">
                  <c:v>147.48292492315281</c:v>
                </c:pt>
                <c:pt idx="11">
                  <c:v>168.61031062415492</c:v>
                </c:pt>
                <c:pt idx="12">
                  <c:v>187.29949573093745</c:v>
                </c:pt>
                <c:pt idx="13">
                  <c:v>204.07770351950063</c:v>
                </c:pt>
                <c:pt idx="14">
                  <c:v>219.32152419603139</c:v>
                </c:pt>
                <c:pt idx="15">
                  <c:v>233.30712525070297</c:v>
                </c:pt>
                <c:pt idx="16">
                  <c:v>246.24163316415806</c:v>
                </c:pt>
                <c:pt idx="17">
                  <c:v>258.28343934788876</c:v>
                </c:pt>
                <c:pt idx="18">
                  <c:v>269.55573751303012</c:v>
                </c:pt>
                <c:pt idx="19">
                  <c:v>277.84009295224814</c:v>
                </c:pt>
                <c:pt idx="20">
                  <c:v>283.87745287099813</c:v>
                </c:pt>
                <c:pt idx="21">
                  <c:v>289.76128153974815</c:v>
                </c:pt>
                <c:pt idx="22">
                  <c:v>295.49157895849811</c:v>
                </c:pt>
                <c:pt idx="23">
                  <c:v>301.06834512724816</c:v>
                </c:pt>
                <c:pt idx="24">
                  <c:v>306.49158004599815</c:v>
                </c:pt>
                <c:pt idx="25">
                  <c:v>311.76128371474812</c:v>
                </c:pt>
                <c:pt idx="26">
                  <c:v>316.87745613349813</c:v>
                </c:pt>
                <c:pt idx="27">
                  <c:v>321.84009730224813</c:v>
                </c:pt>
                <c:pt idx="28">
                  <c:v>326.64920722099816</c:v>
                </c:pt>
                <c:pt idx="29">
                  <c:v>331.30478588974813</c:v>
                </c:pt>
                <c:pt idx="30">
                  <c:v>335.80683330849814</c:v>
                </c:pt>
                <c:pt idx="31">
                  <c:v>340.15534947724819</c:v>
                </c:pt>
                <c:pt idx="32">
                  <c:v>344.35033439599817</c:v>
                </c:pt>
                <c:pt idx="33">
                  <c:v>348.39178806474814</c:v>
                </c:pt>
                <c:pt idx="34">
                  <c:v>352.27971048349815</c:v>
                </c:pt>
                <c:pt idx="35">
                  <c:v>356.01410165224814</c:v>
                </c:pt>
                <c:pt idx="36">
                  <c:v>359.59496157099818</c:v>
                </c:pt>
                <c:pt idx="37">
                  <c:v>363.0222902397482</c:v>
                </c:pt>
                <c:pt idx="38">
                  <c:v>366.29608765849815</c:v>
                </c:pt>
                <c:pt idx="39">
                  <c:v>369.41635382724809</c:v>
                </c:pt>
                <c:pt idx="40">
                  <c:v>372.38308874599812</c:v>
                </c:pt>
                <c:pt idx="41">
                  <c:v>375.19629241474814</c:v>
                </c:pt>
                <c:pt idx="42">
                  <c:v>377.85596483349809</c:v>
                </c:pt>
                <c:pt idx="43">
                  <c:v>380.36210600224808</c:v>
                </c:pt>
                <c:pt idx="44">
                  <c:v>382.71471592099812</c:v>
                </c:pt>
                <c:pt idx="45">
                  <c:v>384.91379458974814</c:v>
                </c:pt>
                <c:pt idx="46">
                  <c:v>386.95934200849814</c:v>
                </c:pt>
                <c:pt idx="47">
                  <c:v>388.85135817724813</c:v>
                </c:pt>
                <c:pt idx="48">
                  <c:v>390.58984309599811</c:v>
                </c:pt>
                <c:pt idx="49">
                  <c:v>392.17479676474812</c:v>
                </c:pt>
                <c:pt idx="50">
                  <c:v>393.60621918349813</c:v>
                </c:pt>
                <c:pt idx="51">
                  <c:v>394.88411035224811</c:v>
                </c:pt>
                <c:pt idx="52">
                  <c:v>396.00847027099815</c:v>
                </c:pt>
                <c:pt idx="53">
                  <c:v>396.97929893974811</c:v>
                </c:pt>
                <c:pt idx="54">
                  <c:v>397.79659635849811</c:v>
                </c:pt>
                <c:pt idx="55">
                  <c:v>398.46036252724815</c:v>
                </c:pt>
                <c:pt idx="56">
                  <c:v>398.97059744599812</c:v>
                </c:pt>
                <c:pt idx="57">
                  <c:v>399.32730111474814</c:v>
                </c:pt>
                <c:pt idx="58">
                  <c:v>399.5304735334982</c:v>
                </c:pt>
                <c:pt idx="59">
                  <c:v>399.58011470224812</c:v>
                </c:pt>
                <c:pt idx="60">
                  <c:v>399.47622462099815</c:v>
                </c:pt>
                <c:pt idx="61">
                  <c:v>399.21880328974811</c:v>
                </c:pt>
                <c:pt idx="62">
                  <c:v>398.80785070849817</c:v>
                </c:pt>
                <c:pt idx="63">
                  <c:v>398.24336687724815</c:v>
                </c:pt>
                <c:pt idx="64">
                  <c:v>397.52535179599818</c:v>
                </c:pt>
                <c:pt idx="65">
                  <c:v>396.65380546474813</c:v>
                </c:pt>
                <c:pt idx="66">
                  <c:v>395.62872788349819</c:v>
                </c:pt>
                <c:pt idx="67">
                  <c:v>394.45011905224817</c:v>
                </c:pt>
                <c:pt idx="68">
                  <c:v>393.11797897099819</c:v>
                </c:pt>
                <c:pt idx="69">
                  <c:v>391.63230763974815</c:v>
                </c:pt>
                <c:pt idx="70">
                  <c:v>389.99310505849814</c:v>
                </c:pt>
                <c:pt idx="71">
                  <c:v>388.20037122724818</c:v>
                </c:pt>
                <c:pt idx="72">
                  <c:v>386.25410614599821</c:v>
                </c:pt>
                <c:pt idx="73">
                  <c:v>384.15430981474816</c:v>
                </c:pt>
                <c:pt idx="74">
                  <c:v>381.90098223349815</c:v>
                </c:pt>
                <c:pt idx="75">
                  <c:v>379.49412340224819</c:v>
                </c:pt>
                <c:pt idx="76">
                  <c:v>376.93373332099821</c:v>
                </c:pt>
                <c:pt idx="77">
                  <c:v>374.21981198974817</c:v>
                </c:pt>
                <c:pt idx="78">
                  <c:v>371.35235940849816</c:v>
                </c:pt>
                <c:pt idx="79">
                  <c:v>368.3313755772482</c:v>
                </c:pt>
                <c:pt idx="80">
                  <c:v>365.15686049599822</c:v>
                </c:pt>
                <c:pt idx="81">
                  <c:v>361.82881416474817</c:v>
                </c:pt>
                <c:pt idx="82">
                  <c:v>358.34723658349816</c:v>
                </c:pt>
                <c:pt idx="83">
                  <c:v>354.71212775224819</c:v>
                </c:pt>
                <c:pt idx="84">
                  <c:v>350.92348767099821</c:v>
                </c:pt>
                <c:pt idx="85">
                  <c:v>346.98131633974822</c:v>
                </c:pt>
                <c:pt idx="86">
                  <c:v>342.88561375849821</c:v>
                </c:pt>
                <c:pt idx="87">
                  <c:v>338.63637992724819</c:v>
                </c:pt>
                <c:pt idx="88">
                  <c:v>334.2336148459982</c:v>
                </c:pt>
                <c:pt idx="89">
                  <c:v>329.67731851474821</c:v>
                </c:pt>
                <c:pt idx="90">
                  <c:v>260.12468346093317</c:v>
                </c:pt>
                <c:pt idx="91">
                  <c:v>253.60422813682007</c:v>
                </c:pt>
                <c:pt idx="92">
                  <c:v>246.96626532119583</c:v>
                </c:pt>
                <c:pt idx="93">
                  <c:v>240.20963295983412</c:v>
                </c:pt>
                <c:pt idx="94">
                  <c:v>233.33321844751919</c:v>
                </c:pt>
                <c:pt idx="95">
                  <c:v>226.33595602547226</c:v>
                </c:pt>
                <c:pt idx="96">
                  <c:v>219.21682434143781</c:v>
                </c:pt>
                <c:pt idx="97">
                  <c:v>211.97484416069224</c:v>
                </c:pt>
                <c:pt idx="98">
                  <c:v>204.60907621719454</c:v>
                </c:pt>
                <c:pt idx="99">
                  <c:v>197.11861919497017</c:v>
                </c:pt>
                <c:pt idx="100">
                  <c:v>189.50260783061148</c:v>
                </c:pt>
                <c:pt idx="101">
                  <c:v>181.76021112850066</c:v>
                </c:pt>
                <c:pt idx="102">
                  <c:v>173.89063068101947</c:v>
                </c:pt>
                <c:pt idx="103">
                  <c:v>165.89309908661053</c:v>
                </c:pt>
                <c:pt idx="104">
                  <c:v>157.76687845910422</c:v>
                </c:pt>
                <c:pt idx="105">
                  <c:v>149.51125902222668</c:v>
                </c:pt>
                <c:pt idx="106">
                  <c:v>141.12555778366399</c:v>
                </c:pt>
                <c:pt idx="107">
                  <c:v>132.60911728347719</c:v>
                </c:pt>
                <c:pt idx="108">
                  <c:v>123.96130441205058</c:v>
                </c:pt>
                <c:pt idx="109">
                  <c:v>115.18150929310607</c:v>
                </c:pt>
                <c:pt idx="110">
                  <c:v>106.26914422764459</c:v>
                </c:pt>
                <c:pt idx="111">
                  <c:v>97.22364269497109</c:v>
                </c:pt>
                <c:pt idx="112">
                  <c:v>88.044458407236405</c:v>
                </c:pt>
                <c:pt idx="113">
                  <c:v>78.731064414180125</c:v>
                </c:pt>
                <c:pt idx="114">
                  <c:v>69.282952254992253</c:v>
                </c:pt>
                <c:pt idx="115">
                  <c:v>59.69963115442534</c:v>
                </c:pt>
                <c:pt idx="116">
                  <c:v>49.980627260487267</c:v>
                </c:pt>
                <c:pt idx="117">
                  <c:v>40.125482921226215</c:v>
                </c:pt>
                <c:pt idx="118">
                  <c:v>30.133755998289683</c:v>
                </c:pt>
                <c:pt idx="119">
                  <c:v>20.005019215093416</c:v>
                </c:pt>
                <c:pt idx="120">
                  <c:v>6.9608484872356055E-3</c:v>
                </c:pt>
              </c:numCache>
            </c:numRef>
          </c:xVal>
          <c:yVal>
            <c:numRef>
              <c:f>Sheet1!$Q$21:$Q$141</c:f>
              <c:numCache>
                <c:formatCode>0.00</c:formatCode>
                <c:ptCount val="121"/>
                <c:pt idx="0">
                  <c:v>-691.14315878975447</c:v>
                </c:pt>
                <c:pt idx="1">
                  <c:v>-655.01815878975447</c:v>
                </c:pt>
                <c:pt idx="2">
                  <c:v>-618.89315878975435</c:v>
                </c:pt>
                <c:pt idx="3">
                  <c:v>-582.76815878975435</c:v>
                </c:pt>
                <c:pt idx="4">
                  <c:v>-546.64315878975447</c:v>
                </c:pt>
                <c:pt idx="5">
                  <c:v>-510.51815878975452</c:v>
                </c:pt>
                <c:pt idx="6">
                  <c:v>-474.39315878975452</c:v>
                </c:pt>
                <c:pt idx="7">
                  <c:v>-438.26815878975447</c:v>
                </c:pt>
                <c:pt idx="8">
                  <c:v>-402.14315878975452</c:v>
                </c:pt>
                <c:pt idx="9">
                  <c:v>-366.01815878975452</c:v>
                </c:pt>
                <c:pt idx="10">
                  <c:v>-5.6657175961374309</c:v>
                </c:pt>
                <c:pt idx="11">
                  <c:v>99.000505065123264</c:v>
                </c:pt>
                <c:pt idx="12">
                  <c:v>192.2433810052859</c:v>
                </c:pt>
                <c:pt idx="13">
                  <c:v>276.69902660435184</c:v>
                </c:pt>
                <c:pt idx="14">
                  <c:v>354.25039289325559</c:v>
                </c:pt>
                <c:pt idx="15">
                  <c:v>426.27831732286364</c:v>
                </c:pt>
                <c:pt idx="16">
                  <c:v>493.81843229638889</c:v>
                </c:pt>
                <c:pt idx="17">
                  <c:v>557.66269487129239</c:v>
                </c:pt>
                <c:pt idx="18">
                  <c:v>618.42707360324914</c:v>
                </c:pt>
                <c:pt idx="19">
                  <c:v>665.01939495558941</c:v>
                </c:pt>
                <c:pt idx="20">
                  <c:v>701.14439495558941</c:v>
                </c:pt>
                <c:pt idx="21">
                  <c:v>737.26939495558941</c:v>
                </c:pt>
                <c:pt idx="22">
                  <c:v>773.39439495558941</c:v>
                </c:pt>
                <c:pt idx="23">
                  <c:v>809.51939495558941</c:v>
                </c:pt>
                <c:pt idx="24">
                  <c:v>845.64439495558941</c:v>
                </c:pt>
                <c:pt idx="25">
                  <c:v>881.76939495558941</c:v>
                </c:pt>
                <c:pt idx="26">
                  <c:v>917.89439495558941</c:v>
                </c:pt>
                <c:pt idx="27">
                  <c:v>954.01939495558941</c:v>
                </c:pt>
                <c:pt idx="28">
                  <c:v>990.14439495558941</c:v>
                </c:pt>
                <c:pt idx="29">
                  <c:v>1026.2693949555894</c:v>
                </c:pt>
                <c:pt idx="30">
                  <c:v>1062.3943949555894</c:v>
                </c:pt>
                <c:pt idx="31">
                  <c:v>1098.5193949555894</c:v>
                </c:pt>
                <c:pt idx="32">
                  <c:v>1134.6443949555894</c:v>
                </c:pt>
                <c:pt idx="33">
                  <c:v>1170.7693949555894</c:v>
                </c:pt>
                <c:pt idx="34">
                  <c:v>1206.8943949555894</c:v>
                </c:pt>
                <c:pt idx="35">
                  <c:v>1243.0193949555894</c:v>
                </c:pt>
                <c:pt idx="36">
                  <c:v>1279.1443949555894</c:v>
                </c:pt>
                <c:pt idx="37">
                  <c:v>1315.2693949555894</c:v>
                </c:pt>
                <c:pt idx="38">
                  <c:v>1351.3943949555894</c:v>
                </c:pt>
                <c:pt idx="39">
                  <c:v>1387.5193949555892</c:v>
                </c:pt>
                <c:pt idx="40">
                  <c:v>1423.6443949555892</c:v>
                </c:pt>
                <c:pt idx="41">
                  <c:v>1459.7693949555892</c:v>
                </c:pt>
                <c:pt idx="42">
                  <c:v>1495.8943949555892</c:v>
                </c:pt>
                <c:pt idx="43">
                  <c:v>1532.0193949555892</c:v>
                </c:pt>
                <c:pt idx="44">
                  <c:v>1568.1443949555892</c:v>
                </c:pt>
                <c:pt idx="45">
                  <c:v>1604.2693949555892</c:v>
                </c:pt>
                <c:pt idx="46">
                  <c:v>1640.3943949555892</c:v>
                </c:pt>
                <c:pt idx="47">
                  <c:v>1676.5193949555892</c:v>
                </c:pt>
                <c:pt idx="48">
                  <c:v>1712.6443949555892</c:v>
                </c:pt>
                <c:pt idx="49">
                  <c:v>1748.7693949555892</c:v>
                </c:pt>
                <c:pt idx="50">
                  <c:v>1784.8943949555894</c:v>
                </c:pt>
                <c:pt idx="51">
                  <c:v>1821.0193949555894</c:v>
                </c:pt>
                <c:pt idx="52">
                  <c:v>1857.1443949555894</c:v>
                </c:pt>
                <c:pt idx="53">
                  <c:v>1893.2693949555894</c:v>
                </c:pt>
                <c:pt idx="54">
                  <c:v>1929.3943949555894</c:v>
                </c:pt>
                <c:pt idx="55">
                  <c:v>1965.5193949555894</c:v>
                </c:pt>
                <c:pt idx="56">
                  <c:v>2001.6443949555894</c:v>
                </c:pt>
                <c:pt idx="57">
                  <c:v>2037.7693949555894</c:v>
                </c:pt>
                <c:pt idx="58">
                  <c:v>2073.8943949555896</c:v>
                </c:pt>
                <c:pt idx="59">
                  <c:v>2110.0193949555892</c:v>
                </c:pt>
                <c:pt idx="60">
                  <c:v>2146.1443949555892</c:v>
                </c:pt>
                <c:pt idx="61">
                  <c:v>2182.2693949555892</c:v>
                </c:pt>
                <c:pt idx="62">
                  <c:v>2218.3943949555892</c:v>
                </c:pt>
                <c:pt idx="63">
                  <c:v>2254.5193949555892</c:v>
                </c:pt>
                <c:pt idx="64">
                  <c:v>2290.6443949555892</c:v>
                </c:pt>
                <c:pt idx="65">
                  <c:v>2326.7693949555892</c:v>
                </c:pt>
                <c:pt idx="66">
                  <c:v>2362.8943949555892</c:v>
                </c:pt>
                <c:pt idx="67">
                  <c:v>2399.0193949555892</c:v>
                </c:pt>
                <c:pt idx="68">
                  <c:v>2435.1443949555892</c:v>
                </c:pt>
                <c:pt idx="69">
                  <c:v>2471.2693949555892</c:v>
                </c:pt>
                <c:pt idx="70">
                  <c:v>2507.3943949555892</c:v>
                </c:pt>
                <c:pt idx="71">
                  <c:v>2543.5193949555892</c:v>
                </c:pt>
                <c:pt idx="72">
                  <c:v>2579.6443949555892</c:v>
                </c:pt>
                <c:pt idx="73">
                  <c:v>2615.7693949555892</c:v>
                </c:pt>
                <c:pt idx="74">
                  <c:v>2651.8943949555892</c:v>
                </c:pt>
                <c:pt idx="75">
                  <c:v>2688.0193949555892</c:v>
                </c:pt>
                <c:pt idx="76">
                  <c:v>2724.1443949555892</c:v>
                </c:pt>
                <c:pt idx="77">
                  <c:v>2760.2693949555892</c:v>
                </c:pt>
                <c:pt idx="78">
                  <c:v>2796.3943949555892</c:v>
                </c:pt>
                <c:pt idx="79">
                  <c:v>2832.5193949555892</c:v>
                </c:pt>
                <c:pt idx="80">
                  <c:v>2868.6443949555892</c:v>
                </c:pt>
                <c:pt idx="81">
                  <c:v>2904.7693949555892</c:v>
                </c:pt>
                <c:pt idx="82">
                  <c:v>2940.8943949555892</c:v>
                </c:pt>
                <c:pt idx="83">
                  <c:v>2977.0193949555892</c:v>
                </c:pt>
                <c:pt idx="84">
                  <c:v>3013.1443949555892</c:v>
                </c:pt>
                <c:pt idx="85">
                  <c:v>3049.2693949555892</c:v>
                </c:pt>
                <c:pt idx="86">
                  <c:v>3085.3943949555892</c:v>
                </c:pt>
                <c:pt idx="87">
                  <c:v>3121.5193949555892</c:v>
                </c:pt>
                <c:pt idx="88">
                  <c:v>3157.6443949555892</c:v>
                </c:pt>
                <c:pt idx="89">
                  <c:v>3193.7693949555892</c:v>
                </c:pt>
                <c:pt idx="90">
                  <c:v>3554.1084323184141</c:v>
                </c:pt>
                <c:pt idx="91">
                  <c:v>3598.5189147827296</c:v>
                </c:pt>
                <c:pt idx="92">
                  <c:v>3642.7492784546007</c:v>
                </c:pt>
                <c:pt idx="93">
                  <c:v>3686.8053336051594</c:v>
                </c:pt>
                <c:pt idx="94">
                  <c:v>3730.6926432604841</c:v>
                </c:pt>
                <c:pt idx="95">
                  <c:v>3774.4165362144686</c:v>
                </c:pt>
                <c:pt idx="96">
                  <c:v>3817.9821192283912</c:v>
                </c:pt>
                <c:pt idx="97">
                  <c:v>3861.394288475869</c:v>
                </c:pt>
                <c:pt idx="98">
                  <c:v>3904.6577402871076</c:v>
                </c:pt>
                <c:pt idx="99">
                  <c:v>3947.7769812419792</c:v>
                </c:pt>
                <c:pt idx="100">
                  <c:v>3990.7563376575226</c:v>
                </c:pt>
                <c:pt idx="101">
                  <c:v>4033.5999645118268</c:v>
                </c:pt>
                <c:pt idx="102">
                  <c:v>4076.3118538429826</c:v>
                </c:pt>
                <c:pt idx="103">
                  <c:v>4118.8958426587778</c:v>
                </c:pt>
                <c:pt idx="104">
                  <c:v>4161.3556203900589</c:v>
                </c:pt>
                <c:pt idx="105">
                  <c:v>4203.6947359181968</c:v>
                </c:pt>
                <c:pt idx="106">
                  <c:v>4245.91660420476</c:v>
                </c:pt>
                <c:pt idx="107">
                  <c:v>4288.0245125494439</c:v>
                </c:pt>
                <c:pt idx="108">
                  <c:v>4330.0216265003273</c:v>
                </c:pt>
                <c:pt idx="109">
                  <c:v>4371.9109954387995</c:v>
                </c:pt>
                <c:pt idx="110">
                  <c:v>4413.6955578598572</c:v>
                </c:pt>
                <c:pt idx="111">
                  <c:v>4455.3781463669748</c:v>
                </c:pt>
                <c:pt idx="112">
                  <c:v>4496.9614923993986</c:v>
                </c:pt>
                <c:pt idx="113">
                  <c:v>4538.4482307084299</c:v>
                </c:pt>
                <c:pt idx="114">
                  <c:v>4579.8409035981185</c:v>
                </c:pt>
                <c:pt idx="115">
                  <c:v>4621.1419649447034</c:v>
                </c:pt>
                <c:pt idx="116">
                  <c:v>4662.3537840081435</c:v>
                </c:pt>
                <c:pt idx="117">
                  <c:v>4703.4786490481993</c:v>
                </c:pt>
                <c:pt idx="118">
                  <c:v>4744.518770756632</c:v>
                </c:pt>
                <c:pt idx="119">
                  <c:v>4785.4762855163626</c:v>
                </c:pt>
                <c:pt idx="120">
                  <c:v>4864.5347491734965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71-4CE7-8888-886F3787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368543"/>
        <c:axId val="608555295"/>
      </c:scatterChart>
      <c:valAx>
        <c:axId val="651368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Mn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55295"/>
        <c:crosses val="autoZero"/>
        <c:crossBetween val="midCat"/>
      </c:valAx>
      <c:valAx>
        <c:axId val="60855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368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106</xdr:row>
      <xdr:rowOff>166686</xdr:rowOff>
    </xdr:from>
    <xdr:to>
      <xdr:col>10</xdr:col>
      <xdr:colOff>590549</xdr:colOff>
      <xdr:row>134</xdr:row>
      <xdr:rowOff>161925</xdr:rowOff>
    </xdr:to>
    <xdr:graphicFrame macro="">
      <xdr:nvGraphicFramePr>
        <xdr:cNvPr id="2" name="Chart 1" title="Interaction Diagram">
          <a:extLst>
            <a:ext uri="{FF2B5EF4-FFF2-40B4-BE49-F238E27FC236}">
              <a16:creationId xmlns:a16="http://schemas.microsoft.com/office/drawing/2014/main" id="{C6D5B79A-A285-4535-8351-39F370898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D0B6-1D4A-47F3-A779-5FFCDD507C87}">
  <sheetPr codeName="Sheet1"/>
  <dimension ref="A1:Q145"/>
  <sheetViews>
    <sheetView tabSelected="1" workbookViewId="0">
      <selection activeCell="C21" sqref="C21"/>
    </sheetView>
  </sheetViews>
  <sheetFormatPr defaultRowHeight="15" x14ac:dyDescent="0.25"/>
  <cols>
    <col min="5" max="5" width="13.7109375" customWidth="1"/>
    <col min="6" max="6" width="12.5703125" customWidth="1"/>
    <col min="7" max="7" width="14.42578125" customWidth="1"/>
    <col min="8" max="8" width="9.140625" style="2"/>
    <col min="9" max="9" width="10.85546875" style="2" customWidth="1"/>
    <col min="10" max="10" width="13.42578125" style="2" customWidth="1"/>
    <col min="11" max="11" width="9.140625" style="2"/>
    <col min="12" max="12" width="14.140625" style="2" customWidth="1"/>
    <col min="13" max="13" width="9.140625" style="2"/>
    <col min="14" max="14" width="12" style="2" customWidth="1"/>
    <col min="15" max="15" width="13.5703125" style="2" customWidth="1"/>
    <col min="16" max="16" width="13" style="2" customWidth="1"/>
  </cols>
  <sheetData>
    <row r="1" spans="1:13" x14ac:dyDescent="0.25">
      <c r="A1" s="6" t="s">
        <v>9</v>
      </c>
    </row>
    <row r="2" spans="1:13" x14ac:dyDescent="0.25">
      <c r="A2" t="s">
        <v>0</v>
      </c>
      <c r="B2">
        <v>500</v>
      </c>
      <c r="E2" t="s">
        <v>26</v>
      </c>
    </row>
    <row r="3" spans="1:13" x14ac:dyDescent="0.25">
      <c r="A3" t="s">
        <v>1</v>
      </c>
      <c r="B3">
        <v>500</v>
      </c>
      <c r="E3">
        <v>5</v>
      </c>
      <c r="F3" t="s">
        <v>27</v>
      </c>
    </row>
    <row r="4" spans="1:13" x14ac:dyDescent="0.25">
      <c r="A4" t="s">
        <v>11</v>
      </c>
      <c r="B4">
        <v>20</v>
      </c>
    </row>
    <row r="5" spans="1:13" x14ac:dyDescent="0.25">
      <c r="A5" t="s">
        <v>12</v>
      </c>
      <c r="B5">
        <v>275</v>
      </c>
    </row>
    <row r="6" spans="1:13" x14ac:dyDescent="0.25">
      <c r="A6" s="1" t="s">
        <v>13</v>
      </c>
      <c r="B6">
        <v>0.85</v>
      </c>
    </row>
    <row r="11" spans="1:13" x14ac:dyDescent="0.25">
      <c r="A11" s="2" t="s">
        <v>2</v>
      </c>
      <c r="B11" s="2" t="s">
        <v>6</v>
      </c>
      <c r="C11" s="3" t="s">
        <v>4</v>
      </c>
      <c r="D11" s="2" t="s">
        <v>3</v>
      </c>
      <c r="E11" s="2" t="s">
        <v>5</v>
      </c>
      <c r="G11" s="2"/>
      <c r="M11"/>
    </row>
    <row r="12" spans="1:13" x14ac:dyDescent="0.25">
      <c r="A12" s="4">
        <v>1</v>
      </c>
      <c r="B12" s="4">
        <v>50</v>
      </c>
      <c r="C12" s="4">
        <v>20</v>
      </c>
      <c r="D12" s="4">
        <v>4</v>
      </c>
      <c r="E12" s="5">
        <f>PI() / 4 * C12^2 * D12</f>
        <v>1256.6370614359173</v>
      </c>
      <c r="G12" s="2"/>
      <c r="M12"/>
    </row>
    <row r="13" spans="1:13" x14ac:dyDescent="0.25">
      <c r="A13" s="4">
        <v>2</v>
      </c>
      <c r="B13" s="4">
        <v>450</v>
      </c>
      <c r="C13" s="4">
        <v>20</v>
      </c>
      <c r="D13" s="4">
        <v>4</v>
      </c>
      <c r="E13" s="5">
        <f>PI() / 4 * C13^2 * D13</f>
        <v>1256.6370614359173</v>
      </c>
      <c r="G13" s="2"/>
      <c r="M13"/>
    </row>
    <row r="14" spans="1:13" x14ac:dyDescent="0.25">
      <c r="A14" s="4"/>
      <c r="B14" s="4"/>
      <c r="C14" s="4"/>
      <c r="D14" s="4"/>
      <c r="E14" s="4"/>
      <c r="F14" s="5"/>
    </row>
    <row r="15" spans="1:13" x14ac:dyDescent="0.25">
      <c r="A15" s="4"/>
      <c r="B15" s="4"/>
      <c r="C15" s="4"/>
      <c r="D15" s="4"/>
      <c r="E15" s="4"/>
      <c r="F15" s="5"/>
    </row>
    <row r="16" spans="1:13" x14ac:dyDescent="0.25">
      <c r="A16" s="4"/>
      <c r="B16" s="4"/>
      <c r="C16" s="4"/>
      <c r="D16" s="4"/>
      <c r="E16" s="4"/>
      <c r="F16" s="5"/>
    </row>
    <row r="17" spans="1:17" x14ac:dyDescent="0.25">
      <c r="A17" s="4"/>
      <c r="B17" s="4"/>
      <c r="C17" s="4"/>
      <c r="D17" s="4"/>
      <c r="E17" s="4"/>
      <c r="F17" s="5"/>
    </row>
    <row r="18" spans="1:17" x14ac:dyDescent="0.25">
      <c r="A18" s="4"/>
      <c r="B18" s="4"/>
      <c r="C18" s="4"/>
      <c r="D18" s="4"/>
      <c r="E18" s="4"/>
      <c r="F18" s="4"/>
    </row>
    <row r="19" spans="1:17" x14ac:dyDescent="0.25">
      <c r="A19" s="4"/>
      <c r="B19" s="4"/>
      <c r="C19" s="4"/>
      <c r="D19" s="4"/>
      <c r="E19" s="4"/>
      <c r="F19" s="4"/>
    </row>
    <row r="20" spans="1:17" x14ac:dyDescent="0.25">
      <c r="A20" s="4" t="s">
        <v>7</v>
      </c>
      <c r="B20" s="4" t="s">
        <v>8</v>
      </c>
      <c r="C20" s="4" t="s">
        <v>10</v>
      </c>
      <c r="D20" s="4" t="s">
        <v>18</v>
      </c>
      <c r="E20" s="4" t="s">
        <v>23</v>
      </c>
      <c r="F20" s="4" t="s">
        <v>14</v>
      </c>
      <c r="G20" s="4" t="s">
        <v>15</v>
      </c>
      <c r="H20" s="4" t="s">
        <v>18</v>
      </c>
      <c r="I20" s="4" t="s">
        <v>19</v>
      </c>
      <c r="J20" s="4" t="s">
        <v>20</v>
      </c>
      <c r="K20" s="4" t="s">
        <v>16</v>
      </c>
      <c r="L20" s="4" t="s">
        <v>17</v>
      </c>
      <c r="M20" s="4" t="s">
        <v>18</v>
      </c>
      <c r="N20" s="4" t="s">
        <v>22</v>
      </c>
      <c r="O20" s="4" t="s">
        <v>21</v>
      </c>
      <c r="P20" s="4" t="s">
        <v>25</v>
      </c>
      <c r="Q20" s="4" t="s">
        <v>24</v>
      </c>
    </row>
    <row r="21" spans="1:17" x14ac:dyDescent="0.25">
      <c r="A21" s="4">
        <v>1E-3</v>
      </c>
      <c r="B21" s="4">
        <f>b_1*A21</f>
        <v>8.4999999999999995E-4</v>
      </c>
      <c r="C21" s="4">
        <f t="shared" ref="C21:C52" si="0">0.85 * fc_prime * B21 * b</f>
        <v>7.2249999999999996</v>
      </c>
      <c r="D21" s="5">
        <f t="shared" ref="D21:D52" si="1">ABS(h / 2) - (B21 / 2)</f>
        <v>249.99957499999999</v>
      </c>
      <c r="E21" s="5">
        <f>C21 * D21</f>
        <v>1806.2469293749998</v>
      </c>
      <c r="F21" s="4">
        <f t="shared" ref="F21:F52" si="2">getFs(d_1, A21, fy)</f>
        <v>-275</v>
      </c>
      <c r="G21" s="4">
        <f>IF(getSign(F21) &lt; 0, F21, F21 - 0.85 * fc_prime)</f>
        <v>-275</v>
      </c>
      <c r="H21" s="2">
        <f t="shared" ref="H21:H52" si="3">ABS(h / 2) - d_1</f>
        <v>200</v>
      </c>
      <c r="I21" s="7">
        <f t="shared" ref="I21:I52" si="4">G21 * As_1</f>
        <v>-345575.19189487724</v>
      </c>
      <c r="J21" s="7">
        <f>I21 * H21</f>
        <v>-69115038.378975451</v>
      </c>
      <c r="K21" s="7">
        <f t="shared" ref="K21:K52" si="5">getFs(d_2, A21, fy)</f>
        <v>-275</v>
      </c>
      <c r="L21" s="7">
        <f>IF(getSign(K21) &lt; 0, K21, K21 - 0.85 * fc_prime)</f>
        <v>-275</v>
      </c>
      <c r="M21" s="2">
        <f t="shared" ref="M21:M52" si="6">ABS(h / 2) - d_2</f>
        <v>-200</v>
      </c>
      <c r="N21" s="7">
        <f t="shared" ref="N21:N52" si="7">As_2 * L21</f>
        <v>-345575.19189487724</v>
      </c>
      <c r="O21" s="7">
        <f>N21 * M21</f>
        <v>69115038.378975451</v>
      </c>
      <c r="P21" s="7">
        <f>SUM(E21, J21, O21) / (1000 ^ 2)</f>
        <v>1.8062469293773174E-3</v>
      </c>
      <c r="Q21" s="7">
        <f t="shared" ref="Q21:Q52" si="8">SUM(C21, I21, N21) / 1000</f>
        <v>-691.14315878975447</v>
      </c>
    </row>
    <row r="22" spans="1:17" x14ac:dyDescent="0.25">
      <c r="A22" s="4">
        <f t="shared" ref="A22:A53" si="9">A21 + increment</f>
        <v>5.0010000000000003</v>
      </c>
      <c r="B22" s="4">
        <f>b_1*A22</f>
        <v>4.2508499999999998</v>
      </c>
      <c r="C22" s="4">
        <f t="shared" si="0"/>
        <v>36132.224999999999</v>
      </c>
      <c r="D22" s="5">
        <f t="shared" si="1"/>
        <v>247.87457499999999</v>
      </c>
      <c r="E22" s="5">
        <f t="shared" ref="E22:E85" si="10">C22 * D22</f>
        <v>8956259.9156793747</v>
      </c>
      <c r="F22" s="4">
        <f t="shared" si="2"/>
        <v>-275</v>
      </c>
      <c r="G22" s="4">
        <f>IF(getSign(F22) &lt; 0, F22, F22 - 0.85 * fc_prime)</f>
        <v>-275</v>
      </c>
      <c r="H22" s="2">
        <f t="shared" si="3"/>
        <v>200</v>
      </c>
      <c r="I22" s="7">
        <f t="shared" si="4"/>
        <v>-345575.19189487724</v>
      </c>
      <c r="J22" s="7">
        <f t="shared" ref="J22:J85" si="11">I22 * H22</f>
        <v>-69115038.378975451</v>
      </c>
      <c r="K22" s="7">
        <f t="shared" si="5"/>
        <v>-275</v>
      </c>
      <c r="L22" s="7">
        <f>IF(getSign(K22) &lt; 0, K22, K22 - 0.85 * fc_prime)</f>
        <v>-275</v>
      </c>
      <c r="M22" s="2">
        <f t="shared" si="6"/>
        <v>-200</v>
      </c>
      <c r="N22" s="7">
        <f t="shared" si="7"/>
        <v>-345575.19189487724</v>
      </c>
      <c r="O22" s="7">
        <f t="shared" ref="O22:O85" si="12">N22 * M22</f>
        <v>69115038.378975451</v>
      </c>
      <c r="P22" s="7">
        <f t="shared" ref="P22:P85" si="13">SUM(E22, J22, O22) / (1000 ^ 2)</f>
        <v>8.9562599156793734</v>
      </c>
      <c r="Q22" s="7">
        <f t="shared" si="8"/>
        <v>-655.01815878975447</v>
      </c>
    </row>
    <row r="23" spans="1:17" x14ac:dyDescent="0.25">
      <c r="A23" s="4">
        <f t="shared" si="9"/>
        <v>10.001000000000001</v>
      </c>
      <c r="B23" s="4">
        <f>b_1*A23</f>
        <v>8.5008500000000016</v>
      </c>
      <c r="C23" s="4">
        <f t="shared" si="0"/>
        <v>72257.22500000002</v>
      </c>
      <c r="D23" s="5">
        <f t="shared" si="1"/>
        <v>245.74957499999999</v>
      </c>
      <c r="E23" s="5">
        <f t="shared" si="10"/>
        <v>17757182.33442938</v>
      </c>
      <c r="F23" s="4">
        <f t="shared" si="2"/>
        <v>-275</v>
      </c>
      <c r="G23" s="4">
        <f>IF(getSign(F23) &lt; 0, F23, F23 - 0.85 * fc_prime)</f>
        <v>-275</v>
      </c>
      <c r="H23" s="2">
        <f t="shared" si="3"/>
        <v>200</v>
      </c>
      <c r="I23" s="7">
        <f t="shared" si="4"/>
        <v>-345575.19189487724</v>
      </c>
      <c r="J23" s="7">
        <f t="shared" si="11"/>
        <v>-69115038.378975451</v>
      </c>
      <c r="K23" s="7">
        <f t="shared" si="5"/>
        <v>-275</v>
      </c>
      <c r="L23" s="7">
        <f>IF(getSign(K23) &lt; 0, K23, K23 - 0.85 * fc_prime)</f>
        <v>-275</v>
      </c>
      <c r="M23" s="2">
        <f t="shared" si="6"/>
        <v>-200</v>
      </c>
      <c r="N23" s="7">
        <f t="shared" si="7"/>
        <v>-345575.19189487724</v>
      </c>
      <c r="O23" s="7">
        <f t="shared" si="12"/>
        <v>69115038.378975451</v>
      </c>
      <c r="P23" s="7">
        <f t="shared" si="13"/>
        <v>17.757182334429384</v>
      </c>
      <c r="Q23" s="7">
        <f t="shared" si="8"/>
        <v>-618.89315878975435</v>
      </c>
    </row>
    <row r="24" spans="1:17" x14ac:dyDescent="0.25">
      <c r="A24" s="4">
        <f t="shared" si="9"/>
        <v>15.001000000000001</v>
      </c>
      <c r="B24" s="4">
        <f>b_1*A24</f>
        <v>12.750850000000002</v>
      </c>
      <c r="C24" s="4">
        <f t="shared" si="0"/>
        <v>108382.22500000002</v>
      </c>
      <c r="D24" s="5">
        <f t="shared" si="1"/>
        <v>243.62457499999999</v>
      </c>
      <c r="E24" s="5">
        <f t="shared" si="10"/>
        <v>26404573.503179379</v>
      </c>
      <c r="F24" s="4">
        <f t="shared" si="2"/>
        <v>-275</v>
      </c>
      <c r="G24" s="4">
        <f>IF(getSign(F24) &lt; 0, F24, F24 - 0.85 * fc_prime)</f>
        <v>-275</v>
      </c>
      <c r="H24" s="2">
        <f t="shared" si="3"/>
        <v>200</v>
      </c>
      <c r="I24" s="7">
        <f t="shared" si="4"/>
        <v>-345575.19189487724</v>
      </c>
      <c r="J24" s="7">
        <f t="shared" si="11"/>
        <v>-69115038.378975451</v>
      </c>
      <c r="K24" s="7">
        <f t="shared" si="5"/>
        <v>-275</v>
      </c>
      <c r="L24" s="7">
        <f>IF(getSign(K24) &lt; 0, K24, K24 - 0.85 * fc_prime)</f>
        <v>-275</v>
      </c>
      <c r="M24" s="2">
        <f t="shared" si="6"/>
        <v>-200</v>
      </c>
      <c r="N24" s="7">
        <f t="shared" si="7"/>
        <v>-345575.19189487724</v>
      </c>
      <c r="O24" s="7">
        <f t="shared" si="12"/>
        <v>69115038.378975451</v>
      </c>
      <c r="P24" s="7">
        <f t="shared" si="13"/>
        <v>26.404573503179378</v>
      </c>
      <c r="Q24" s="7">
        <f t="shared" si="8"/>
        <v>-582.76815878975435</v>
      </c>
    </row>
    <row r="25" spans="1:17" x14ac:dyDescent="0.25">
      <c r="A25" s="4">
        <f t="shared" si="9"/>
        <v>20.001000000000001</v>
      </c>
      <c r="B25" s="4">
        <f>b_1*A25</f>
        <v>17.00085</v>
      </c>
      <c r="C25" s="4">
        <f t="shared" si="0"/>
        <v>144507.22500000001</v>
      </c>
      <c r="D25" s="5">
        <f t="shared" si="1"/>
        <v>241.49957499999999</v>
      </c>
      <c r="E25" s="5">
        <f t="shared" si="10"/>
        <v>34898433.421929374</v>
      </c>
      <c r="F25" s="4">
        <f t="shared" si="2"/>
        <v>-275</v>
      </c>
      <c r="G25" s="4">
        <f>IF(getSign(F25) &lt; 0, F25, F25 - 0.85 * fc_prime)</f>
        <v>-275</v>
      </c>
      <c r="H25" s="2">
        <f t="shared" si="3"/>
        <v>200</v>
      </c>
      <c r="I25" s="7">
        <f t="shared" si="4"/>
        <v>-345575.19189487724</v>
      </c>
      <c r="J25" s="7">
        <f t="shared" si="11"/>
        <v>-69115038.378975451</v>
      </c>
      <c r="K25" s="7">
        <f t="shared" si="5"/>
        <v>-275</v>
      </c>
      <c r="L25" s="7">
        <f>IF(getSign(K25) &lt; 0, K25, K25 - 0.85 * fc_prime)</f>
        <v>-275</v>
      </c>
      <c r="M25" s="2">
        <f t="shared" si="6"/>
        <v>-200</v>
      </c>
      <c r="N25" s="7">
        <f t="shared" si="7"/>
        <v>-345575.19189487724</v>
      </c>
      <c r="O25" s="7">
        <f t="shared" si="12"/>
        <v>69115038.378975451</v>
      </c>
      <c r="P25" s="7">
        <f t="shared" si="13"/>
        <v>34.898433421929376</v>
      </c>
      <c r="Q25" s="7">
        <f t="shared" si="8"/>
        <v>-546.64315878975447</v>
      </c>
    </row>
    <row r="26" spans="1:17" x14ac:dyDescent="0.25">
      <c r="A26" s="4">
        <f t="shared" si="9"/>
        <v>25.001000000000001</v>
      </c>
      <c r="B26" s="4">
        <f>b_1*A26</f>
        <v>21.25085</v>
      </c>
      <c r="C26" s="4">
        <f t="shared" si="0"/>
        <v>180632.22500000001</v>
      </c>
      <c r="D26" s="5">
        <f t="shared" si="1"/>
        <v>239.37457499999999</v>
      </c>
      <c r="E26" s="5">
        <f t="shared" si="10"/>
        <v>43238762.090679377</v>
      </c>
      <c r="F26" s="4">
        <f t="shared" si="2"/>
        <v>-275</v>
      </c>
      <c r="G26" s="4">
        <f>IF(getSign(F26) &lt; 0, F26, F26 - 0.85 * fc_prime)</f>
        <v>-275</v>
      </c>
      <c r="H26" s="2">
        <f t="shared" si="3"/>
        <v>200</v>
      </c>
      <c r="I26" s="7">
        <f t="shared" si="4"/>
        <v>-345575.19189487724</v>
      </c>
      <c r="J26" s="7">
        <f t="shared" si="11"/>
        <v>-69115038.378975451</v>
      </c>
      <c r="K26" s="7">
        <f t="shared" si="5"/>
        <v>-275</v>
      </c>
      <c r="L26" s="7">
        <f>IF(getSign(K26) &lt; 0, K26, K26 - 0.85 * fc_prime)</f>
        <v>-275</v>
      </c>
      <c r="M26" s="2">
        <f t="shared" si="6"/>
        <v>-200</v>
      </c>
      <c r="N26" s="7">
        <f t="shared" si="7"/>
        <v>-345575.19189487724</v>
      </c>
      <c r="O26" s="7">
        <f t="shared" si="12"/>
        <v>69115038.378975451</v>
      </c>
      <c r="P26" s="7">
        <f t="shared" si="13"/>
        <v>43.23876209067938</v>
      </c>
      <c r="Q26" s="7">
        <f t="shared" si="8"/>
        <v>-510.51815878975452</v>
      </c>
    </row>
    <row r="27" spans="1:17" x14ac:dyDescent="0.25">
      <c r="A27" s="4">
        <f t="shared" si="9"/>
        <v>30.001000000000001</v>
      </c>
      <c r="B27" s="4">
        <f>b_1*A27</f>
        <v>25.50085</v>
      </c>
      <c r="C27" s="4">
        <f t="shared" si="0"/>
        <v>216757.22500000001</v>
      </c>
      <c r="D27" s="5">
        <f t="shared" si="1"/>
        <v>237.24957499999999</v>
      </c>
      <c r="E27" s="5">
        <f t="shared" si="10"/>
        <v>51425559.509429373</v>
      </c>
      <c r="F27" s="4">
        <f t="shared" si="2"/>
        <v>-275</v>
      </c>
      <c r="G27" s="4">
        <f>IF(getSign(F27) &lt; 0, F27, F27 - 0.85 * fc_prime)</f>
        <v>-275</v>
      </c>
      <c r="H27" s="2">
        <f t="shared" si="3"/>
        <v>200</v>
      </c>
      <c r="I27" s="7">
        <f t="shared" si="4"/>
        <v>-345575.19189487724</v>
      </c>
      <c r="J27" s="7">
        <f t="shared" si="11"/>
        <v>-69115038.378975451</v>
      </c>
      <c r="K27" s="7">
        <f t="shared" si="5"/>
        <v>-275</v>
      </c>
      <c r="L27" s="7">
        <f>IF(getSign(K27) &lt; 0, K27, K27 - 0.85 * fc_prime)</f>
        <v>-275</v>
      </c>
      <c r="M27" s="2">
        <f t="shared" si="6"/>
        <v>-200</v>
      </c>
      <c r="N27" s="7">
        <f t="shared" si="7"/>
        <v>-345575.19189487724</v>
      </c>
      <c r="O27" s="7">
        <f t="shared" si="12"/>
        <v>69115038.378975451</v>
      </c>
      <c r="P27" s="7">
        <f t="shared" si="13"/>
        <v>51.42555950942937</v>
      </c>
      <c r="Q27" s="7">
        <f t="shared" si="8"/>
        <v>-474.39315878975452</v>
      </c>
    </row>
    <row r="28" spans="1:17" x14ac:dyDescent="0.25">
      <c r="A28" s="4">
        <f t="shared" si="9"/>
        <v>35.001000000000005</v>
      </c>
      <c r="B28" s="4">
        <f>b_1*A28</f>
        <v>29.750850000000003</v>
      </c>
      <c r="C28" s="4">
        <f t="shared" si="0"/>
        <v>252882.22500000003</v>
      </c>
      <c r="D28" s="5">
        <f t="shared" si="1"/>
        <v>235.12457499999999</v>
      </c>
      <c r="E28" s="5">
        <f t="shared" si="10"/>
        <v>59458825.678179383</v>
      </c>
      <c r="F28" s="4">
        <f t="shared" si="2"/>
        <v>-275</v>
      </c>
      <c r="G28" s="4">
        <f>IF(getSign(F28) &lt; 0, F28, F28 - 0.85 * fc_prime)</f>
        <v>-275</v>
      </c>
      <c r="H28" s="2">
        <f t="shared" si="3"/>
        <v>200</v>
      </c>
      <c r="I28" s="7">
        <f t="shared" si="4"/>
        <v>-345575.19189487724</v>
      </c>
      <c r="J28" s="7">
        <f t="shared" si="11"/>
        <v>-69115038.378975451</v>
      </c>
      <c r="K28" s="7">
        <f t="shared" si="5"/>
        <v>-275</v>
      </c>
      <c r="L28" s="7">
        <f>IF(getSign(K28) &lt; 0, K28, K28 - 0.85 * fc_prime)</f>
        <v>-275</v>
      </c>
      <c r="M28" s="2">
        <f t="shared" si="6"/>
        <v>-200</v>
      </c>
      <c r="N28" s="7">
        <f t="shared" si="7"/>
        <v>-345575.19189487724</v>
      </c>
      <c r="O28" s="7">
        <f t="shared" si="12"/>
        <v>69115038.378975451</v>
      </c>
      <c r="P28" s="7">
        <f t="shared" si="13"/>
        <v>59.45882567817938</v>
      </c>
      <c r="Q28" s="7">
        <f t="shared" si="8"/>
        <v>-438.26815878975447</v>
      </c>
    </row>
    <row r="29" spans="1:17" x14ac:dyDescent="0.25">
      <c r="A29" s="4">
        <f t="shared" si="9"/>
        <v>40.001000000000005</v>
      </c>
      <c r="B29" s="4">
        <f>b_1*A29</f>
        <v>34.00085</v>
      </c>
      <c r="C29" s="4">
        <f t="shared" si="0"/>
        <v>289007.22499999998</v>
      </c>
      <c r="D29" s="5">
        <f t="shared" si="1"/>
        <v>232.99957499999999</v>
      </c>
      <c r="E29" s="5">
        <f t="shared" si="10"/>
        <v>67338560.596929371</v>
      </c>
      <c r="F29" s="4">
        <f t="shared" si="2"/>
        <v>-275</v>
      </c>
      <c r="G29" s="4">
        <f>IF(getSign(F29) &lt; 0, F29, F29 - 0.85 * fc_prime)</f>
        <v>-275</v>
      </c>
      <c r="H29" s="2">
        <f t="shared" si="3"/>
        <v>200</v>
      </c>
      <c r="I29" s="7">
        <f t="shared" si="4"/>
        <v>-345575.19189487724</v>
      </c>
      <c r="J29" s="7">
        <f t="shared" si="11"/>
        <v>-69115038.378975451</v>
      </c>
      <c r="K29" s="7">
        <f t="shared" si="5"/>
        <v>-275</v>
      </c>
      <c r="L29" s="7">
        <f>IF(getSign(K29) &lt; 0, K29, K29 - 0.85 * fc_prime)</f>
        <v>-275</v>
      </c>
      <c r="M29" s="2">
        <f t="shared" si="6"/>
        <v>-200</v>
      </c>
      <c r="N29" s="7">
        <f t="shared" si="7"/>
        <v>-345575.19189487724</v>
      </c>
      <c r="O29" s="7">
        <f t="shared" si="12"/>
        <v>69115038.378975451</v>
      </c>
      <c r="P29" s="7">
        <f t="shared" si="13"/>
        <v>67.338560596929369</v>
      </c>
      <c r="Q29" s="7">
        <f t="shared" si="8"/>
        <v>-402.14315878975452</v>
      </c>
    </row>
    <row r="30" spans="1:17" x14ac:dyDescent="0.25">
      <c r="A30" s="4">
        <f t="shared" si="9"/>
        <v>45.001000000000005</v>
      </c>
      <c r="B30" s="4">
        <f>b_1*A30</f>
        <v>38.25085</v>
      </c>
      <c r="C30" s="4">
        <f t="shared" si="0"/>
        <v>325132.22499999998</v>
      </c>
      <c r="D30" s="5">
        <f t="shared" si="1"/>
        <v>230.87457499999999</v>
      </c>
      <c r="E30" s="5">
        <f t="shared" si="10"/>
        <v>75064764.265679374</v>
      </c>
      <c r="F30" s="4">
        <f t="shared" si="2"/>
        <v>-275</v>
      </c>
      <c r="G30" s="4">
        <f>IF(getSign(F30) &lt; 0, F30, F30 - 0.85 * fc_prime)</f>
        <v>-275</v>
      </c>
      <c r="H30" s="2">
        <f t="shared" si="3"/>
        <v>200</v>
      </c>
      <c r="I30" s="7">
        <f t="shared" si="4"/>
        <v>-345575.19189487724</v>
      </c>
      <c r="J30" s="7">
        <f t="shared" si="11"/>
        <v>-69115038.378975451</v>
      </c>
      <c r="K30" s="7">
        <f t="shared" si="5"/>
        <v>-275</v>
      </c>
      <c r="L30" s="7">
        <f>IF(getSign(K30) &lt; 0, K30, K30 - 0.85 * fc_prime)</f>
        <v>-275</v>
      </c>
      <c r="M30" s="2">
        <f t="shared" si="6"/>
        <v>-200</v>
      </c>
      <c r="N30" s="7">
        <f t="shared" si="7"/>
        <v>-345575.19189487724</v>
      </c>
      <c r="O30" s="7">
        <f t="shared" si="12"/>
        <v>69115038.378975451</v>
      </c>
      <c r="P30" s="7">
        <f t="shared" si="13"/>
        <v>75.064764265679372</v>
      </c>
      <c r="Q30" s="7">
        <f t="shared" si="8"/>
        <v>-366.01815878975452</v>
      </c>
    </row>
    <row r="31" spans="1:17" x14ac:dyDescent="0.25">
      <c r="A31" s="4">
        <f t="shared" si="9"/>
        <v>50.001000000000005</v>
      </c>
      <c r="B31" s="4">
        <f>b_1*A31</f>
        <v>42.50085</v>
      </c>
      <c r="C31" s="4">
        <f t="shared" si="0"/>
        <v>361257.22499999998</v>
      </c>
      <c r="D31" s="5">
        <f t="shared" si="1"/>
        <v>228.74957499999999</v>
      </c>
      <c r="E31" s="5">
        <f t="shared" si="10"/>
        <v>82637436.684429362</v>
      </c>
      <c r="F31" s="4">
        <f t="shared" si="2"/>
        <v>1.19997600048572E-2</v>
      </c>
      <c r="G31" s="4">
        <f>IF(getSign(F31) &lt; 0, F31, F31 - 0.85 * fc_prime)</f>
        <v>-16.988000239995142</v>
      </c>
      <c r="H31" s="2">
        <f t="shared" si="3"/>
        <v>200</v>
      </c>
      <c r="I31" s="7">
        <f t="shared" si="4"/>
        <v>-21347.750701260153</v>
      </c>
      <c r="J31" s="7">
        <f t="shared" si="11"/>
        <v>-4269550.1402520305</v>
      </c>
      <c r="K31" s="7">
        <f t="shared" si="5"/>
        <v>-275</v>
      </c>
      <c r="L31" s="7">
        <f>IF(getSign(K31) &lt; 0, K31, K31 - 0.85 * fc_prime)</f>
        <v>-275</v>
      </c>
      <c r="M31" s="2">
        <f t="shared" si="6"/>
        <v>-200</v>
      </c>
      <c r="N31" s="7">
        <f t="shared" si="7"/>
        <v>-345575.19189487724</v>
      </c>
      <c r="O31" s="7">
        <f t="shared" si="12"/>
        <v>69115038.378975451</v>
      </c>
      <c r="P31" s="7">
        <f t="shared" si="13"/>
        <v>147.48292492315281</v>
      </c>
      <c r="Q31" s="7">
        <f t="shared" si="8"/>
        <v>-5.6657175961374309</v>
      </c>
    </row>
    <row r="32" spans="1:17" x14ac:dyDescent="0.25">
      <c r="A32" s="4">
        <f t="shared" si="9"/>
        <v>55.001000000000005</v>
      </c>
      <c r="B32" s="4">
        <f>b_1*A32</f>
        <v>46.75085</v>
      </c>
      <c r="C32" s="4">
        <f t="shared" si="0"/>
        <v>397382.22499999998</v>
      </c>
      <c r="D32" s="5">
        <f t="shared" si="1"/>
        <v>226.62457499999999</v>
      </c>
      <c r="E32" s="5">
        <f t="shared" si="10"/>
        <v>90056577.853179365</v>
      </c>
      <c r="F32" s="4">
        <f t="shared" si="2"/>
        <v>54.555371720514216</v>
      </c>
      <c r="G32" s="4">
        <f>IF(getSign(F32) &lt; 0, F32, F32 - 0.85 * fc_prime)</f>
        <v>37.555371720514216</v>
      </c>
      <c r="H32" s="2">
        <f t="shared" si="3"/>
        <v>200</v>
      </c>
      <c r="I32" s="7">
        <f t="shared" si="4"/>
        <v>47193.471960000534</v>
      </c>
      <c r="J32" s="7">
        <f t="shared" si="11"/>
        <v>9438694.3920001071</v>
      </c>
      <c r="K32" s="7">
        <f t="shared" si="5"/>
        <v>-275</v>
      </c>
      <c r="L32" s="7">
        <f>IF(getSign(K32) &lt; 0, K32, K32 - 0.85 * fc_prime)</f>
        <v>-275</v>
      </c>
      <c r="M32" s="2">
        <f t="shared" si="6"/>
        <v>-200</v>
      </c>
      <c r="N32" s="7">
        <f t="shared" si="7"/>
        <v>-345575.19189487724</v>
      </c>
      <c r="O32" s="7">
        <f t="shared" si="12"/>
        <v>69115038.378975451</v>
      </c>
      <c r="P32" s="7">
        <f t="shared" si="13"/>
        <v>168.61031062415492</v>
      </c>
      <c r="Q32" s="7">
        <f t="shared" si="8"/>
        <v>99.000505065123264</v>
      </c>
    </row>
    <row r="33" spans="1:17" x14ac:dyDescent="0.25">
      <c r="A33" s="4">
        <f t="shared" si="9"/>
        <v>60.001000000000005</v>
      </c>
      <c r="B33" s="4">
        <f>b_1*A33</f>
        <v>51.00085</v>
      </c>
      <c r="C33" s="4">
        <f t="shared" si="0"/>
        <v>433507.22499999998</v>
      </c>
      <c r="D33" s="5">
        <f t="shared" si="1"/>
        <v>224.49957499999999</v>
      </c>
      <c r="E33" s="5">
        <f t="shared" si="10"/>
        <v>97322187.771929368</v>
      </c>
      <c r="F33" s="4">
        <f t="shared" si="2"/>
        <v>100.00833319444681</v>
      </c>
      <c r="G33" s="4">
        <f>IF(getSign(F33) &lt; 0, F33, F33 - 0.85 * fc_prime)</f>
        <v>83.008333194446806</v>
      </c>
      <c r="H33" s="2">
        <f t="shared" si="3"/>
        <v>200</v>
      </c>
      <c r="I33" s="7">
        <f t="shared" si="4"/>
        <v>104311.34790016315</v>
      </c>
      <c r="J33" s="7">
        <f t="shared" si="11"/>
        <v>20862269.580032632</v>
      </c>
      <c r="K33" s="7">
        <f t="shared" si="5"/>
        <v>-275</v>
      </c>
      <c r="L33" s="7">
        <f>IF(getSign(K33) &lt; 0, K33, K33 - 0.85 * fc_prime)</f>
        <v>-275</v>
      </c>
      <c r="M33" s="2">
        <f t="shared" si="6"/>
        <v>-200</v>
      </c>
      <c r="N33" s="7">
        <f t="shared" si="7"/>
        <v>-345575.19189487724</v>
      </c>
      <c r="O33" s="7">
        <f t="shared" si="12"/>
        <v>69115038.378975451</v>
      </c>
      <c r="P33" s="7">
        <f t="shared" si="13"/>
        <v>187.29949573093745</v>
      </c>
      <c r="Q33" s="7">
        <f t="shared" si="8"/>
        <v>192.2433810052859</v>
      </c>
    </row>
    <row r="34" spans="1:17" x14ac:dyDescent="0.25">
      <c r="A34" s="4">
        <f t="shared" si="9"/>
        <v>65.001000000000005</v>
      </c>
      <c r="B34" s="4">
        <f>b_1*A34</f>
        <v>55.25085</v>
      </c>
      <c r="C34" s="4">
        <f t="shared" si="0"/>
        <v>469632.22499999998</v>
      </c>
      <c r="D34" s="5">
        <f t="shared" si="1"/>
        <v>222.37457499999999</v>
      </c>
      <c r="E34" s="5">
        <f t="shared" si="10"/>
        <v>104434266.44067937</v>
      </c>
      <c r="F34" s="4">
        <f t="shared" si="2"/>
        <v>138.46863894401628</v>
      </c>
      <c r="G34" s="4">
        <f>IF(getSign(F34) &lt; 0, F34, F34 - 0.85 * fc_prime)</f>
        <v>121.46863894401628</v>
      </c>
      <c r="H34" s="2">
        <f t="shared" si="3"/>
        <v>200</v>
      </c>
      <c r="I34" s="7">
        <f t="shared" si="4"/>
        <v>152641.99349922905</v>
      </c>
      <c r="J34" s="7">
        <f t="shared" si="11"/>
        <v>30528398.699845809</v>
      </c>
      <c r="K34" s="7">
        <f t="shared" si="5"/>
        <v>-275</v>
      </c>
      <c r="L34" s="7">
        <f>IF(getSign(K34) &lt; 0, K34, K34 - 0.85 * fc_prime)</f>
        <v>-275</v>
      </c>
      <c r="M34" s="2">
        <f t="shared" si="6"/>
        <v>-200</v>
      </c>
      <c r="N34" s="7">
        <f t="shared" si="7"/>
        <v>-345575.19189487724</v>
      </c>
      <c r="O34" s="7">
        <f t="shared" si="12"/>
        <v>69115038.378975451</v>
      </c>
      <c r="P34" s="7">
        <f t="shared" si="13"/>
        <v>204.07770351950063</v>
      </c>
      <c r="Q34" s="7">
        <f t="shared" si="8"/>
        <v>276.69902660435184</v>
      </c>
    </row>
    <row r="35" spans="1:17" x14ac:dyDescent="0.25">
      <c r="A35" s="4">
        <f t="shared" si="9"/>
        <v>70.001000000000005</v>
      </c>
      <c r="B35" s="4">
        <f>b_1*A35</f>
        <v>59.50085</v>
      </c>
      <c r="C35" s="4">
        <f t="shared" si="0"/>
        <v>505757.22499999998</v>
      </c>
      <c r="D35" s="5">
        <f t="shared" si="1"/>
        <v>220.24957499999999</v>
      </c>
      <c r="E35" s="5">
        <f t="shared" si="10"/>
        <v>111392813.85942936</v>
      </c>
      <c r="F35" s="4">
        <f t="shared" si="2"/>
        <v>171.43469379008874</v>
      </c>
      <c r="G35" s="4">
        <f>IF(getSign(F35) &lt; 0, F35, F35 - 0.85 * fc_prime)</f>
        <v>154.43469379008874</v>
      </c>
      <c r="H35" s="2">
        <f t="shared" si="3"/>
        <v>200</v>
      </c>
      <c r="I35" s="7">
        <f t="shared" si="4"/>
        <v>194068.35978813283</v>
      </c>
      <c r="J35" s="7">
        <f t="shared" si="11"/>
        <v>38813671.957626566</v>
      </c>
      <c r="K35" s="7">
        <f t="shared" si="5"/>
        <v>-275</v>
      </c>
      <c r="L35" s="7">
        <f>IF(getSign(K35) &lt; 0, K35, K35 - 0.85 * fc_prime)</f>
        <v>-275</v>
      </c>
      <c r="M35" s="2">
        <f t="shared" si="6"/>
        <v>-200</v>
      </c>
      <c r="N35" s="7">
        <f t="shared" si="7"/>
        <v>-345575.19189487724</v>
      </c>
      <c r="O35" s="7">
        <f t="shared" si="12"/>
        <v>69115038.378975451</v>
      </c>
      <c r="P35" s="7">
        <f t="shared" si="13"/>
        <v>219.32152419603139</v>
      </c>
      <c r="Q35" s="7">
        <f t="shared" si="8"/>
        <v>354.25039289325559</v>
      </c>
    </row>
    <row r="36" spans="1:17" x14ac:dyDescent="0.25">
      <c r="A36" s="4">
        <f t="shared" si="9"/>
        <v>75.001000000000005</v>
      </c>
      <c r="B36" s="4">
        <f>b_1*A36</f>
        <v>63.75085</v>
      </c>
      <c r="C36" s="4">
        <f t="shared" si="0"/>
        <v>541882.22499999998</v>
      </c>
      <c r="D36" s="5">
        <f t="shared" si="1"/>
        <v>218.12457499999999</v>
      </c>
      <c r="E36" s="5">
        <f t="shared" si="10"/>
        <v>118197830.02817936</v>
      </c>
      <c r="F36" s="4">
        <f t="shared" si="2"/>
        <v>200.00533326222319</v>
      </c>
      <c r="G36" s="4">
        <f>IF(getSign(F36) &lt; 0, F36, F36 - 0.85 * fc_prime)</f>
        <v>183.00533326222319</v>
      </c>
      <c r="H36" s="2">
        <f t="shared" si="3"/>
        <v>200</v>
      </c>
      <c r="I36" s="7">
        <f t="shared" si="4"/>
        <v>229971.28421774087</v>
      </c>
      <c r="J36" s="7">
        <f t="shared" si="11"/>
        <v>45994256.843548179</v>
      </c>
      <c r="K36" s="7">
        <f t="shared" si="5"/>
        <v>-275</v>
      </c>
      <c r="L36" s="7">
        <f>IF(getSign(K36) &lt; 0, K36, K36 - 0.85 * fc_prime)</f>
        <v>-275</v>
      </c>
      <c r="M36" s="2">
        <f t="shared" si="6"/>
        <v>-200</v>
      </c>
      <c r="N36" s="7">
        <f t="shared" si="7"/>
        <v>-345575.19189487724</v>
      </c>
      <c r="O36" s="7">
        <f t="shared" si="12"/>
        <v>69115038.378975451</v>
      </c>
      <c r="P36" s="7">
        <f t="shared" si="13"/>
        <v>233.30712525070297</v>
      </c>
      <c r="Q36" s="7">
        <f t="shared" si="8"/>
        <v>426.27831732286364</v>
      </c>
    </row>
    <row r="37" spans="1:17" x14ac:dyDescent="0.25">
      <c r="A37" s="4">
        <f t="shared" si="9"/>
        <v>80.001000000000005</v>
      </c>
      <c r="B37" s="4">
        <f>b_1*A37</f>
        <v>68.00085</v>
      </c>
      <c r="C37" s="4">
        <f t="shared" si="0"/>
        <v>578007.22499999998</v>
      </c>
      <c r="D37" s="5">
        <f t="shared" si="1"/>
        <v>215.99957499999999</v>
      </c>
      <c r="E37" s="5">
        <f t="shared" si="10"/>
        <v>124849314.94692937</v>
      </c>
      <c r="F37" s="4">
        <f t="shared" si="2"/>
        <v>225.00468744140701</v>
      </c>
      <c r="G37" s="4">
        <f>IF(getSign(F37) &lt; 0, F37, F37 - 0.85 * fc_prime)</f>
        <v>208.00468744140701</v>
      </c>
      <c r="H37" s="2">
        <f t="shared" si="3"/>
        <v>200</v>
      </c>
      <c r="I37" s="7">
        <f t="shared" si="4"/>
        <v>261386.39919126616</v>
      </c>
      <c r="J37" s="7">
        <f t="shared" si="11"/>
        <v>52277279.83825323</v>
      </c>
      <c r="K37" s="7">
        <f t="shared" si="5"/>
        <v>-275</v>
      </c>
      <c r="L37" s="7">
        <f>IF(getSign(K37) &lt; 0, K37, K37 - 0.85 * fc_prime)</f>
        <v>-275</v>
      </c>
      <c r="M37" s="2">
        <f t="shared" si="6"/>
        <v>-200</v>
      </c>
      <c r="N37" s="7">
        <f t="shared" si="7"/>
        <v>-345575.19189487724</v>
      </c>
      <c r="O37" s="7">
        <f t="shared" si="12"/>
        <v>69115038.378975451</v>
      </c>
      <c r="P37" s="7">
        <f t="shared" si="13"/>
        <v>246.24163316415806</v>
      </c>
      <c r="Q37" s="7">
        <f t="shared" si="8"/>
        <v>493.81843229638889</v>
      </c>
    </row>
    <row r="38" spans="1:17" x14ac:dyDescent="0.25">
      <c r="A38" s="4">
        <f t="shared" si="9"/>
        <v>85.001000000000005</v>
      </c>
      <c r="B38" s="4">
        <f>b_1*A38</f>
        <v>72.25085</v>
      </c>
      <c r="C38" s="4">
        <f t="shared" si="0"/>
        <v>614132.22499999998</v>
      </c>
      <c r="D38" s="5">
        <f t="shared" si="1"/>
        <v>213.87457499999999</v>
      </c>
      <c r="E38" s="5">
        <f t="shared" si="10"/>
        <v>131347268.61567937</v>
      </c>
      <c r="F38" s="4">
        <f t="shared" si="2"/>
        <v>247.06297572969731</v>
      </c>
      <c r="G38" s="4">
        <f>IF(getSign(F38) &lt; 0, F38, F38 - 0.85 * fc_prime)</f>
        <v>230.06297572969731</v>
      </c>
      <c r="H38" s="2">
        <f t="shared" si="3"/>
        <v>200</v>
      </c>
      <c r="I38" s="7">
        <f t="shared" si="4"/>
        <v>289105.66176616959</v>
      </c>
      <c r="J38" s="7">
        <f t="shared" si="11"/>
        <v>57821132.353233919</v>
      </c>
      <c r="K38" s="7">
        <f t="shared" si="5"/>
        <v>-275</v>
      </c>
      <c r="L38" s="7">
        <f>IF(getSign(K38) &lt; 0, K38, K38 - 0.85 * fc_prime)</f>
        <v>-275</v>
      </c>
      <c r="M38" s="2">
        <f t="shared" si="6"/>
        <v>-200</v>
      </c>
      <c r="N38" s="7">
        <f t="shared" si="7"/>
        <v>-345575.19189487724</v>
      </c>
      <c r="O38" s="7">
        <f t="shared" si="12"/>
        <v>69115038.378975451</v>
      </c>
      <c r="P38" s="7">
        <f t="shared" si="13"/>
        <v>258.28343934788876</v>
      </c>
      <c r="Q38" s="7">
        <f t="shared" si="8"/>
        <v>557.66269487129239</v>
      </c>
    </row>
    <row r="39" spans="1:17" x14ac:dyDescent="0.25">
      <c r="A39" s="4">
        <f t="shared" si="9"/>
        <v>90.001000000000005</v>
      </c>
      <c r="B39" s="4">
        <f>b_1*A39</f>
        <v>76.50085</v>
      </c>
      <c r="C39" s="4">
        <f t="shared" si="0"/>
        <v>650257.22499999998</v>
      </c>
      <c r="D39" s="5">
        <f t="shared" si="1"/>
        <v>211.74957499999999</v>
      </c>
      <c r="E39" s="5">
        <f t="shared" si="10"/>
        <v>137691691.03442937</v>
      </c>
      <c r="F39" s="4">
        <f t="shared" si="2"/>
        <v>266.6703703292186</v>
      </c>
      <c r="G39" s="4">
        <f>IF(getSign(F39) &lt; 0, F39, F39 - 0.85 * fc_prime)</f>
        <v>249.6703703292186</v>
      </c>
      <c r="H39" s="2">
        <f t="shared" si="3"/>
        <v>200</v>
      </c>
      <c r="I39" s="7">
        <f t="shared" si="4"/>
        <v>313745.04049812647</v>
      </c>
      <c r="J39" s="7">
        <f t="shared" si="11"/>
        <v>62749008.099625297</v>
      </c>
      <c r="K39" s="7">
        <f t="shared" si="5"/>
        <v>-275</v>
      </c>
      <c r="L39" s="7">
        <f>IF(getSign(K39) &lt; 0, K39, K39 - 0.85 * fc_prime)</f>
        <v>-275</v>
      </c>
      <c r="M39" s="2">
        <f t="shared" si="6"/>
        <v>-200</v>
      </c>
      <c r="N39" s="7">
        <f t="shared" si="7"/>
        <v>-345575.19189487724</v>
      </c>
      <c r="O39" s="7">
        <f t="shared" si="12"/>
        <v>69115038.378975451</v>
      </c>
      <c r="P39" s="7">
        <f t="shared" si="13"/>
        <v>269.55573751303012</v>
      </c>
      <c r="Q39" s="7">
        <f t="shared" si="8"/>
        <v>618.42707360324914</v>
      </c>
    </row>
    <row r="40" spans="1:17" x14ac:dyDescent="0.25">
      <c r="A40" s="4">
        <f t="shared" si="9"/>
        <v>95.001000000000005</v>
      </c>
      <c r="B40" s="4">
        <f>b_1*A40</f>
        <v>80.75085</v>
      </c>
      <c r="C40" s="4">
        <f t="shared" si="0"/>
        <v>686382.22499999998</v>
      </c>
      <c r="D40" s="5">
        <f t="shared" si="1"/>
        <v>209.62457499999999</v>
      </c>
      <c r="E40" s="5">
        <f t="shared" si="10"/>
        <v>143882582.20317936</v>
      </c>
      <c r="F40" s="4">
        <f t="shared" si="2"/>
        <v>275</v>
      </c>
      <c r="G40" s="4">
        <f>IF(getSign(F40) &lt; 0, F40, F40 - 0.85 * fc_prime)</f>
        <v>258</v>
      </c>
      <c r="H40" s="2">
        <f t="shared" si="3"/>
        <v>200</v>
      </c>
      <c r="I40" s="7">
        <f t="shared" si="4"/>
        <v>324212.36185046664</v>
      </c>
      <c r="J40" s="7">
        <f t="shared" si="11"/>
        <v>64842472.370093331</v>
      </c>
      <c r="K40" s="7">
        <f t="shared" si="5"/>
        <v>-275</v>
      </c>
      <c r="L40" s="7">
        <f>IF(getSign(K40) &lt; 0, K40, K40 - 0.85 * fc_prime)</f>
        <v>-275</v>
      </c>
      <c r="M40" s="2">
        <f t="shared" si="6"/>
        <v>-200</v>
      </c>
      <c r="N40" s="7">
        <f t="shared" si="7"/>
        <v>-345575.19189487724</v>
      </c>
      <c r="O40" s="7">
        <f t="shared" si="12"/>
        <v>69115038.378975451</v>
      </c>
      <c r="P40" s="7">
        <f t="shared" si="13"/>
        <v>277.84009295224814</v>
      </c>
      <c r="Q40" s="7">
        <f t="shared" si="8"/>
        <v>665.01939495558941</v>
      </c>
    </row>
    <row r="41" spans="1:17" x14ac:dyDescent="0.25">
      <c r="A41" s="4">
        <f t="shared" si="9"/>
        <v>100.001</v>
      </c>
      <c r="B41" s="4">
        <f>b_1*A41</f>
        <v>85.00085</v>
      </c>
      <c r="C41" s="4">
        <f t="shared" si="0"/>
        <v>722507.22499999998</v>
      </c>
      <c r="D41" s="5">
        <f t="shared" si="1"/>
        <v>207.49957499999999</v>
      </c>
      <c r="E41" s="5">
        <f t="shared" si="10"/>
        <v>149919942.12192938</v>
      </c>
      <c r="F41" s="4">
        <f t="shared" si="2"/>
        <v>275</v>
      </c>
      <c r="G41" s="4">
        <f>IF(getSign(F41) &lt; 0, F41, F41 - 0.85 * fc_prime)</f>
        <v>258</v>
      </c>
      <c r="H41" s="2">
        <f t="shared" si="3"/>
        <v>200</v>
      </c>
      <c r="I41" s="7">
        <f t="shared" si="4"/>
        <v>324212.36185046664</v>
      </c>
      <c r="J41" s="7">
        <f t="shared" si="11"/>
        <v>64842472.370093331</v>
      </c>
      <c r="K41" s="7">
        <f t="shared" si="5"/>
        <v>-275</v>
      </c>
      <c r="L41" s="7">
        <f>IF(getSign(K41) &lt; 0, K41, K41 - 0.85 * fc_prime)</f>
        <v>-275</v>
      </c>
      <c r="M41" s="2">
        <f t="shared" si="6"/>
        <v>-200</v>
      </c>
      <c r="N41" s="7">
        <f t="shared" si="7"/>
        <v>-345575.19189487724</v>
      </c>
      <c r="O41" s="7">
        <f t="shared" si="12"/>
        <v>69115038.378975451</v>
      </c>
      <c r="P41" s="7">
        <f t="shared" si="13"/>
        <v>283.87745287099813</v>
      </c>
      <c r="Q41" s="7">
        <f t="shared" si="8"/>
        <v>701.14439495558941</v>
      </c>
    </row>
    <row r="42" spans="1:17" x14ac:dyDescent="0.25">
      <c r="A42" s="4">
        <f t="shared" si="9"/>
        <v>105.001</v>
      </c>
      <c r="B42" s="4">
        <f>b_1*A42</f>
        <v>89.25085</v>
      </c>
      <c r="C42" s="4">
        <f t="shared" si="0"/>
        <v>758632.22499999998</v>
      </c>
      <c r="D42" s="5">
        <f t="shared" si="1"/>
        <v>205.37457499999999</v>
      </c>
      <c r="E42" s="5">
        <f t="shared" si="10"/>
        <v>155803770.79067937</v>
      </c>
      <c r="F42" s="4">
        <f t="shared" si="2"/>
        <v>275</v>
      </c>
      <c r="G42" s="4">
        <f>IF(getSign(F42) &lt; 0, F42, F42 - 0.85 * fc_prime)</f>
        <v>258</v>
      </c>
      <c r="H42" s="2">
        <f t="shared" si="3"/>
        <v>200</v>
      </c>
      <c r="I42" s="7">
        <f t="shared" si="4"/>
        <v>324212.36185046664</v>
      </c>
      <c r="J42" s="7">
        <f t="shared" si="11"/>
        <v>64842472.370093331</v>
      </c>
      <c r="K42" s="7">
        <f t="shared" si="5"/>
        <v>-275</v>
      </c>
      <c r="L42" s="7">
        <f>IF(getSign(K42) &lt; 0, K42, K42 - 0.85 * fc_prime)</f>
        <v>-275</v>
      </c>
      <c r="M42" s="2">
        <f t="shared" si="6"/>
        <v>-200</v>
      </c>
      <c r="N42" s="7">
        <f t="shared" si="7"/>
        <v>-345575.19189487724</v>
      </c>
      <c r="O42" s="7">
        <f t="shared" si="12"/>
        <v>69115038.378975451</v>
      </c>
      <c r="P42" s="7">
        <f t="shared" si="13"/>
        <v>289.76128153974815</v>
      </c>
      <c r="Q42" s="7">
        <f t="shared" si="8"/>
        <v>737.26939495558941</v>
      </c>
    </row>
    <row r="43" spans="1:17" x14ac:dyDescent="0.25">
      <c r="A43" s="4">
        <f t="shared" si="9"/>
        <v>110.001</v>
      </c>
      <c r="B43" s="4">
        <f>b_1*A43</f>
        <v>93.50085</v>
      </c>
      <c r="C43" s="4">
        <f t="shared" si="0"/>
        <v>794757.22499999998</v>
      </c>
      <c r="D43" s="5">
        <f t="shared" si="1"/>
        <v>203.24957499999999</v>
      </c>
      <c r="E43" s="5">
        <f t="shared" si="10"/>
        <v>161534068.20942935</v>
      </c>
      <c r="F43" s="4">
        <f t="shared" si="2"/>
        <v>275</v>
      </c>
      <c r="G43" s="4">
        <f>IF(getSign(F43) &lt; 0, F43, F43 - 0.85 * fc_prime)</f>
        <v>258</v>
      </c>
      <c r="H43" s="2">
        <f t="shared" si="3"/>
        <v>200</v>
      </c>
      <c r="I43" s="7">
        <f t="shared" si="4"/>
        <v>324212.36185046664</v>
      </c>
      <c r="J43" s="7">
        <f t="shared" si="11"/>
        <v>64842472.370093331</v>
      </c>
      <c r="K43" s="7">
        <f t="shared" si="5"/>
        <v>-275</v>
      </c>
      <c r="L43" s="7">
        <f>IF(getSign(K43) &lt; 0, K43, K43 - 0.85 * fc_prime)</f>
        <v>-275</v>
      </c>
      <c r="M43" s="2">
        <f t="shared" si="6"/>
        <v>-200</v>
      </c>
      <c r="N43" s="7">
        <f t="shared" si="7"/>
        <v>-345575.19189487724</v>
      </c>
      <c r="O43" s="7">
        <f t="shared" si="12"/>
        <v>69115038.378975451</v>
      </c>
      <c r="P43" s="7">
        <f t="shared" si="13"/>
        <v>295.49157895849811</v>
      </c>
      <c r="Q43" s="7">
        <f t="shared" si="8"/>
        <v>773.39439495558941</v>
      </c>
    </row>
    <row r="44" spans="1:17" x14ac:dyDescent="0.25">
      <c r="A44" s="4">
        <f t="shared" si="9"/>
        <v>115.001</v>
      </c>
      <c r="B44" s="4">
        <f>b_1*A44</f>
        <v>97.75085</v>
      </c>
      <c r="C44" s="4">
        <f t="shared" si="0"/>
        <v>830882.22499999998</v>
      </c>
      <c r="D44" s="5">
        <f t="shared" si="1"/>
        <v>201.12457499999999</v>
      </c>
      <c r="E44" s="5">
        <f t="shared" si="10"/>
        <v>167110834.37817937</v>
      </c>
      <c r="F44" s="4">
        <f t="shared" si="2"/>
        <v>275</v>
      </c>
      <c r="G44" s="4">
        <f>IF(getSign(F44) &lt; 0, F44, F44 - 0.85 * fc_prime)</f>
        <v>258</v>
      </c>
      <c r="H44" s="2">
        <f t="shared" si="3"/>
        <v>200</v>
      </c>
      <c r="I44" s="7">
        <f t="shared" si="4"/>
        <v>324212.36185046664</v>
      </c>
      <c r="J44" s="7">
        <f t="shared" si="11"/>
        <v>64842472.370093331</v>
      </c>
      <c r="K44" s="7">
        <f t="shared" si="5"/>
        <v>-275</v>
      </c>
      <c r="L44" s="7">
        <f>IF(getSign(K44) &lt; 0, K44, K44 - 0.85 * fc_prime)</f>
        <v>-275</v>
      </c>
      <c r="M44" s="2">
        <f t="shared" si="6"/>
        <v>-200</v>
      </c>
      <c r="N44" s="7">
        <f t="shared" si="7"/>
        <v>-345575.19189487724</v>
      </c>
      <c r="O44" s="7">
        <f t="shared" si="12"/>
        <v>69115038.378975451</v>
      </c>
      <c r="P44" s="7">
        <f t="shared" si="13"/>
        <v>301.06834512724816</v>
      </c>
      <c r="Q44" s="7">
        <f t="shared" si="8"/>
        <v>809.51939495558941</v>
      </c>
    </row>
    <row r="45" spans="1:17" x14ac:dyDescent="0.25">
      <c r="A45" s="4">
        <f t="shared" si="9"/>
        <v>120.001</v>
      </c>
      <c r="B45" s="4">
        <f>b_1*A45</f>
        <v>102.00085</v>
      </c>
      <c r="C45" s="4">
        <f t="shared" si="0"/>
        <v>867007.22499999998</v>
      </c>
      <c r="D45" s="5">
        <f t="shared" si="1"/>
        <v>198.99957499999999</v>
      </c>
      <c r="E45" s="5">
        <f t="shared" si="10"/>
        <v>172534069.29692936</v>
      </c>
      <c r="F45" s="4">
        <f t="shared" si="2"/>
        <v>275</v>
      </c>
      <c r="G45" s="4">
        <f>IF(getSign(F45) &lt; 0, F45, F45 - 0.85 * fc_prime)</f>
        <v>258</v>
      </c>
      <c r="H45" s="2">
        <f t="shared" si="3"/>
        <v>200</v>
      </c>
      <c r="I45" s="7">
        <f t="shared" si="4"/>
        <v>324212.36185046664</v>
      </c>
      <c r="J45" s="7">
        <f t="shared" si="11"/>
        <v>64842472.370093331</v>
      </c>
      <c r="K45" s="7">
        <f t="shared" si="5"/>
        <v>-275</v>
      </c>
      <c r="L45" s="7">
        <f>IF(getSign(K45) &lt; 0, K45, K45 - 0.85 * fc_prime)</f>
        <v>-275</v>
      </c>
      <c r="M45" s="2">
        <f t="shared" si="6"/>
        <v>-200</v>
      </c>
      <c r="N45" s="7">
        <f t="shared" si="7"/>
        <v>-345575.19189487724</v>
      </c>
      <c r="O45" s="7">
        <f t="shared" si="12"/>
        <v>69115038.378975451</v>
      </c>
      <c r="P45" s="7">
        <f t="shared" si="13"/>
        <v>306.49158004599815</v>
      </c>
      <c r="Q45" s="7">
        <f t="shared" si="8"/>
        <v>845.64439495558941</v>
      </c>
    </row>
    <row r="46" spans="1:17" x14ac:dyDescent="0.25">
      <c r="A46" s="4">
        <f t="shared" si="9"/>
        <v>125.001</v>
      </c>
      <c r="B46" s="4">
        <f>b_1*A46</f>
        <v>106.25085</v>
      </c>
      <c r="C46" s="4">
        <f t="shared" si="0"/>
        <v>903132.22499999998</v>
      </c>
      <c r="D46" s="5">
        <f t="shared" si="1"/>
        <v>196.87457499999999</v>
      </c>
      <c r="E46" s="5">
        <f t="shared" si="10"/>
        <v>177803772.96567938</v>
      </c>
      <c r="F46" s="4">
        <f t="shared" si="2"/>
        <v>275</v>
      </c>
      <c r="G46" s="4">
        <f>IF(getSign(F46) &lt; 0, F46, F46 - 0.85 * fc_prime)</f>
        <v>258</v>
      </c>
      <c r="H46" s="2">
        <f t="shared" si="3"/>
        <v>200</v>
      </c>
      <c r="I46" s="7">
        <f t="shared" si="4"/>
        <v>324212.36185046664</v>
      </c>
      <c r="J46" s="7">
        <f t="shared" si="11"/>
        <v>64842472.370093331</v>
      </c>
      <c r="K46" s="7">
        <f t="shared" si="5"/>
        <v>-275</v>
      </c>
      <c r="L46" s="7">
        <f>IF(getSign(K46) &lt; 0, K46, K46 - 0.85 * fc_prime)</f>
        <v>-275</v>
      </c>
      <c r="M46" s="2">
        <f t="shared" si="6"/>
        <v>-200</v>
      </c>
      <c r="N46" s="7">
        <f t="shared" si="7"/>
        <v>-345575.19189487724</v>
      </c>
      <c r="O46" s="7">
        <f t="shared" si="12"/>
        <v>69115038.378975451</v>
      </c>
      <c r="P46" s="7">
        <f t="shared" si="13"/>
        <v>311.76128371474812</v>
      </c>
      <c r="Q46" s="7">
        <f t="shared" si="8"/>
        <v>881.76939495558941</v>
      </c>
    </row>
    <row r="47" spans="1:17" x14ac:dyDescent="0.25">
      <c r="A47" s="4">
        <f t="shared" si="9"/>
        <v>130.001</v>
      </c>
      <c r="B47" s="4">
        <f>b_1*A47</f>
        <v>110.50085</v>
      </c>
      <c r="C47" s="4">
        <f t="shared" si="0"/>
        <v>939257.22499999998</v>
      </c>
      <c r="D47" s="5">
        <f t="shared" si="1"/>
        <v>194.74957499999999</v>
      </c>
      <c r="E47" s="5">
        <f t="shared" si="10"/>
        <v>182919945.38442937</v>
      </c>
      <c r="F47" s="4">
        <f t="shared" si="2"/>
        <v>275</v>
      </c>
      <c r="G47" s="4">
        <f>IF(getSign(F47) &lt; 0, F47, F47 - 0.85 * fc_prime)</f>
        <v>258</v>
      </c>
      <c r="H47" s="2">
        <f t="shared" si="3"/>
        <v>200</v>
      </c>
      <c r="I47" s="7">
        <f t="shared" si="4"/>
        <v>324212.36185046664</v>
      </c>
      <c r="J47" s="7">
        <f t="shared" si="11"/>
        <v>64842472.370093331</v>
      </c>
      <c r="K47" s="7">
        <f t="shared" si="5"/>
        <v>-275</v>
      </c>
      <c r="L47" s="7">
        <f>IF(getSign(K47) &lt; 0, K47, K47 - 0.85 * fc_prime)</f>
        <v>-275</v>
      </c>
      <c r="M47" s="2">
        <f t="shared" si="6"/>
        <v>-200</v>
      </c>
      <c r="N47" s="7">
        <f t="shared" si="7"/>
        <v>-345575.19189487724</v>
      </c>
      <c r="O47" s="7">
        <f t="shared" si="12"/>
        <v>69115038.378975451</v>
      </c>
      <c r="P47" s="7">
        <f t="shared" si="13"/>
        <v>316.87745613349813</v>
      </c>
      <c r="Q47" s="7">
        <f t="shared" si="8"/>
        <v>917.89439495558941</v>
      </c>
    </row>
    <row r="48" spans="1:17" x14ac:dyDescent="0.25">
      <c r="A48" s="4">
        <f t="shared" si="9"/>
        <v>135.001</v>
      </c>
      <c r="B48" s="4">
        <f>b_1*A48</f>
        <v>114.75085</v>
      </c>
      <c r="C48" s="4">
        <f t="shared" si="0"/>
        <v>975382.22499999998</v>
      </c>
      <c r="D48" s="5">
        <f t="shared" si="1"/>
        <v>192.62457499999999</v>
      </c>
      <c r="E48" s="5">
        <f t="shared" si="10"/>
        <v>187882586.55317935</v>
      </c>
      <c r="F48" s="4">
        <f t="shared" si="2"/>
        <v>275</v>
      </c>
      <c r="G48" s="4">
        <f>IF(getSign(F48) &lt; 0, F48, F48 - 0.85 * fc_prime)</f>
        <v>258</v>
      </c>
      <c r="H48" s="2">
        <f t="shared" si="3"/>
        <v>200</v>
      </c>
      <c r="I48" s="7">
        <f t="shared" si="4"/>
        <v>324212.36185046664</v>
      </c>
      <c r="J48" s="7">
        <f t="shared" si="11"/>
        <v>64842472.370093331</v>
      </c>
      <c r="K48" s="7">
        <f t="shared" si="5"/>
        <v>-275</v>
      </c>
      <c r="L48" s="7">
        <f>IF(getSign(K48) &lt; 0, K48, K48 - 0.85 * fc_prime)</f>
        <v>-275</v>
      </c>
      <c r="M48" s="2">
        <f t="shared" si="6"/>
        <v>-200</v>
      </c>
      <c r="N48" s="7">
        <f t="shared" si="7"/>
        <v>-345575.19189487724</v>
      </c>
      <c r="O48" s="7">
        <f t="shared" si="12"/>
        <v>69115038.378975451</v>
      </c>
      <c r="P48" s="7">
        <f t="shared" si="13"/>
        <v>321.84009730224813</v>
      </c>
      <c r="Q48" s="7">
        <f t="shared" si="8"/>
        <v>954.01939495558941</v>
      </c>
    </row>
    <row r="49" spans="1:17" x14ac:dyDescent="0.25">
      <c r="A49" s="4">
        <f t="shared" si="9"/>
        <v>140.001</v>
      </c>
      <c r="B49" s="4">
        <f>b_1*A49</f>
        <v>119.00085</v>
      </c>
      <c r="C49" s="4">
        <f t="shared" si="0"/>
        <v>1011507.225</v>
      </c>
      <c r="D49" s="5">
        <f t="shared" si="1"/>
        <v>190.49957499999999</v>
      </c>
      <c r="E49" s="5">
        <f t="shared" si="10"/>
        <v>192691696.47192937</v>
      </c>
      <c r="F49" s="4">
        <f t="shared" si="2"/>
        <v>275</v>
      </c>
      <c r="G49" s="4">
        <f>IF(getSign(F49) &lt; 0, F49, F49 - 0.85 * fc_prime)</f>
        <v>258</v>
      </c>
      <c r="H49" s="2">
        <f t="shared" si="3"/>
        <v>200</v>
      </c>
      <c r="I49" s="7">
        <f t="shared" si="4"/>
        <v>324212.36185046664</v>
      </c>
      <c r="J49" s="7">
        <f t="shared" si="11"/>
        <v>64842472.370093331</v>
      </c>
      <c r="K49" s="7">
        <f t="shared" si="5"/>
        <v>-275</v>
      </c>
      <c r="L49" s="7">
        <f>IF(getSign(K49) &lt; 0, K49, K49 - 0.85 * fc_prime)</f>
        <v>-275</v>
      </c>
      <c r="M49" s="2">
        <f t="shared" si="6"/>
        <v>-200</v>
      </c>
      <c r="N49" s="7">
        <f t="shared" si="7"/>
        <v>-345575.19189487724</v>
      </c>
      <c r="O49" s="7">
        <f t="shared" si="12"/>
        <v>69115038.378975451</v>
      </c>
      <c r="P49" s="7">
        <f t="shared" si="13"/>
        <v>326.64920722099816</v>
      </c>
      <c r="Q49" s="7">
        <f t="shared" si="8"/>
        <v>990.14439495558941</v>
      </c>
    </row>
    <row r="50" spans="1:17" x14ac:dyDescent="0.25">
      <c r="A50" s="4">
        <f t="shared" si="9"/>
        <v>145.001</v>
      </c>
      <c r="B50" s="4">
        <f>b_1*A50</f>
        <v>123.25085</v>
      </c>
      <c r="C50" s="4">
        <f t="shared" si="0"/>
        <v>1047632.2250000001</v>
      </c>
      <c r="D50" s="5">
        <f t="shared" si="1"/>
        <v>188.37457499999999</v>
      </c>
      <c r="E50" s="5">
        <f t="shared" si="10"/>
        <v>197347275.14067939</v>
      </c>
      <c r="F50" s="4">
        <f t="shared" si="2"/>
        <v>275</v>
      </c>
      <c r="G50" s="4">
        <f>IF(getSign(F50) &lt; 0, F50, F50 - 0.85 * fc_prime)</f>
        <v>258</v>
      </c>
      <c r="H50" s="2">
        <f t="shared" si="3"/>
        <v>200</v>
      </c>
      <c r="I50" s="7">
        <f t="shared" si="4"/>
        <v>324212.36185046664</v>
      </c>
      <c r="J50" s="7">
        <f t="shared" si="11"/>
        <v>64842472.370093331</v>
      </c>
      <c r="K50" s="7">
        <f t="shared" si="5"/>
        <v>-275</v>
      </c>
      <c r="L50" s="7">
        <f>IF(getSign(K50) &lt; 0, K50, K50 - 0.85 * fc_prime)</f>
        <v>-275</v>
      </c>
      <c r="M50" s="2">
        <f t="shared" si="6"/>
        <v>-200</v>
      </c>
      <c r="N50" s="7">
        <f t="shared" si="7"/>
        <v>-345575.19189487724</v>
      </c>
      <c r="O50" s="7">
        <f t="shared" si="12"/>
        <v>69115038.378975451</v>
      </c>
      <c r="P50" s="7">
        <f t="shared" si="13"/>
        <v>331.30478588974813</v>
      </c>
      <c r="Q50" s="7">
        <f t="shared" si="8"/>
        <v>1026.2693949555894</v>
      </c>
    </row>
    <row r="51" spans="1:17" x14ac:dyDescent="0.25">
      <c r="A51" s="4">
        <f t="shared" si="9"/>
        <v>150.001</v>
      </c>
      <c r="B51" s="4">
        <f>b_1*A51</f>
        <v>127.50085</v>
      </c>
      <c r="C51" s="4">
        <f t="shared" si="0"/>
        <v>1083757.2250000001</v>
      </c>
      <c r="D51" s="5">
        <f t="shared" si="1"/>
        <v>186.24957499999999</v>
      </c>
      <c r="E51" s="5">
        <f t="shared" si="10"/>
        <v>201849322.55942938</v>
      </c>
      <c r="F51" s="4">
        <f t="shared" si="2"/>
        <v>275</v>
      </c>
      <c r="G51" s="4">
        <f>IF(getSign(F51) &lt; 0, F51, F51 - 0.85 * fc_prime)</f>
        <v>258</v>
      </c>
      <c r="H51" s="2">
        <f t="shared" si="3"/>
        <v>200</v>
      </c>
      <c r="I51" s="7">
        <f t="shared" si="4"/>
        <v>324212.36185046664</v>
      </c>
      <c r="J51" s="7">
        <f t="shared" si="11"/>
        <v>64842472.370093331</v>
      </c>
      <c r="K51" s="7">
        <f t="shared" si="5"/>
        <v>-275</v>
      </c>
      <c r="L51" s="7">
        <f>IF(getSign(K51) &lt; 0, K51, K51 - 0.85 * fc_prime)</f>
        <v>-275</v>
      </c>
      <c r="M51" s="2">
        <f t="shared" si="6"/>
        <v>-200</v>
      </c>
      <c r="N51" s="7">
        <f t="shared" si="7"/>
        <v>-345575.19189487724</v>
      </c>
      <c r="O51" s="7">
        <f t="shared" si="12"/>
        <v>69115038.378975451</v>
      </c>
      <c r="P51" s="7">
        <f t="shared" si="13"/>
        <v>335.80683330849814</v>
      </c>
      <c r="Q51" s="7">
        <f t="shared" si="8"/>
        <v>1062.3943949555894</v>
      </c>
    </row>
    <row r="52" spans="1:17" x14ac:dyDescent="0.25">
      <c r="A52" s="4">
        <f t="shared" si="9"/>
        <v>155.001</v>
      </c>
      <c r="B52" s="4">
        <f>b_1*A52</f>
        <v>131.75085000000001</v>
      </c>
      <c r="C52" s="4">
        <f t="shared" si="0"/>
        <v>1119882.2250000001</v>
      </c>
      <c r="D52" s="5">
        <f t="shared" si="1"/>
        <v>184.12457499999999</v>
      </c>
      <c r="E52" s="5">
        <f t="shared" si="10"/>
        <v>206197838.7281794</v>
      </c>
      <c r="F52" s="4">
        <f t="shared" si="2"/>
        <v>275</v>
      </c>
      <c r="G52" s="4">
        <f>IF(getSign(F52) &lt; 0, F52, F52 - 0.85 * fc_prime)</f>
        <v>258</v>
      </c>
      <c r="H52" s="2">
        <f t="shared" si="3"/>
        <v>200</v>
      </c>
      <c r="I52" s="7">
        <f t="shared" si="4"/>
        <v>324212.36185046664</v>
      </c>
      <c r="J52" s="7">
        <f t="shared" si="11"/>
        <v>64842472.370093331</v>
      </c>
      <c r="K52" s="7">
        <f t="shared" si="5"/>
        <v>-275</v>
      </c>
      <c r="L52" s="7">
        <f>IF(getSign(K52) &lt; 0, K52, K52 - 0.85 * fc_prime)</f>
        <v>-275</v>
      </c>
      <c r="M52" s="2">
        <f t="shared" si="6"/>
        <v>-200</v>
      </c>
      <c r="N52" s="7">
        <f t="shared" si="7"/>
        <v>-345575.19189487724</v>
      </c>
      <c r="O52" s="7">
        <f t="shared" si="12"/>
        <v>69115038.378975451</v>
      </c>
      <c r="P52" s="7">
        <f t="shared" si="13"/>
        <v>340.15534947724819</v>
      </c>
      <c r="Q52" s="7">
        <f t="shared" si="8"/>
        <v>1098.5193949555894</v>
      </c>
    </row>
    <row r="53" spans="1:17" x14ac:dyDescent="0.25">
      <c r="A53" s="4">
        <f t="shared" si="9"/>
        <v>160.001</v>
      </c>
      <c r="B53" s="4">
        <f>b_1*A53</f>
        <v>136.00085000000001</v>
      </c>
      <c r="C53" s="4">
        <f t="shared" ref="C53:C84" si="14">0.85 * fc_prime * B53 * b</f>
        <v>1156007.2250000001</v>
      </c>
      <c r="D53" s="5">
        <f t="shared" ref="D53:D84" si="15">ABS(h / 2) - (B53 / 2)</f>
        <v>181.99957499999999</v>
      </c>
      <c r="E53" s="5">
        <f t="shared" si="10"/>
        <v>210392823.64692938</v>
      </c>
      <c r="F53" s="4">
        <f t="shared" ref="F53:F84" si="16">getFs(d_1, A53, fy)</f>
        <v>275</v>
      </c>
      <c r="G53" s="4">
        <f>IF(getSign(F53) &lt; 0, F53, F53 - 0.85 * fc_prime)</f>
        <v>258</v>
      </c>
      <c r="H53" s="2">
        <f t="shared" ref="H53:H84" si="17">ABS(h / 2) - d_1</f>
        <v>200</v>
      </c>
      <c r="I53" s="7">
        <f t="shared" ref="I53:I84" si="18">G53 * As_1</f>
        <v>324212.36185046664</v>
      </c>
      <c r="J53" s="7">
        <f t="shared" si="11"/>
        <v>64842472.370093331</v>
      </c>
      <c r="K53" s="7">
        <f t="shared" ref="K53:K84" si="19">getFs(d_2, A53, fy)</f>
        <v>-275</v>
      </c>
      <c r="L53" s="7">
        <f>IF(getSign(K53) &lt; 0, K53, K53 - 0.85 * fc_prime)</f>
        <v>-275</v>
      </c>
      <c r="M53" s="2">
        <f t="shared" ref="M53:M84" si="20">ABS(h / 2) - d_2</f>
        <v>-200</v>
      </c>
      <c r="N53" s="7">
        <f t="shared" ref="N53:N84" si="21">As_2 * L53</f>
        <v>-345575.19189487724</v>
      </c>
      <c r="O53" s="7">
        <f t="shared" si="12"/>
        <v>69115038.378975451</v>
      </c>
      <c r="P53" s="7">
        <f t="shared" si="13"/>
        <v>344.35033439599817</v>
      </c>
      <c r="Q53" s="7">
        <f t="shared" ref="Q53:Q84" si="22">SUM(C53, I53, N53) / 1000</f>
        <v>1134.6443949555894</v>
      </c>
    </row>
    <row r="54" spans="1:17" x14ac:dyDescent="0.25">
      <c r="A54" s="4">
        <f t="shared" ref="A54:A85" si="23">A53 + increment</f>
        <v>165.001</v>
      </c>
      <c r="B54" s="4">
        <f>b_1*A54</f>
        <v>140.25085000000001</v>
      </c>
      <c r="C54" s="4">
        <f t="shared" si="14"/>
        <v>1192132.2250000001</v>
      </c>
      <c r="D54" s="5">
        <f t="shared" si="15"/>
        <v>179.87457499999999</v>
      </c>
      <c r="E54" s="5">
        <f t="shared" si="10"/>
        <v>214434277.31567937</v>
      </c>
      <c r="F54" s="4">
        <f t="shared" si="16"/>
        <v>275</v>
      </c>
      <c r="G54" s="4">
        <f>IF(getSign(F54) &lt; 0, F54, F54 - 0.85 * fc_prime)</f>
        <v>258</v>
      </c>
      <c r="H54" s="2">
        <f t="shared" si="17"/>
        <v>200</v>
      </c>
      <c r="I54" s="7">
        <f t="shared" si="18"/>
        <v>324212.36185046664</v>
      </c>
      <c r="J54" s="7">
        <f t="shared" si="11"/>
        <v>64842472.370093331</v>
      </c>
      <c r="K54" s="7">
        <f t="shared" si="19"/>
        <v>-275</v>
      </c>
      <c r="L54" s="7">
        <f>IF(getSign(K54) &lt; 0, K54, K54 - 0.85 * fc_prime)</f>
        <v>-275</v>
      </c>
      <c r="M54" s="2">
        <f t="shared" si="20"/>
        <v>-200</v>
      </c>
      <c r="N54" s="7">
        <f t="shared" si="21"/>
        <v>-345575.19189487724</v>
      </c>
      <c r="O54" s="7">
        <f t="shared" si="12"/>
        <v>69115038.378975451</v>
      </c>
      <c r="P54" s="7">
        <f t="shared" si="13"/>
        <v>348.39178806474814</v>
      </c>
      <c r="Q54" s="7">
        <f t="shared" si="22"/>
        <v>1170.7693949555894</v>
      </c>
    </row>
    <row r="55" spans="1:17" x14ac:dyDescent="0.25">
      <c r="A55" s="4">
        <f t="shared" si="23"/>
        <v>170.001</v>
      </c>
      <c r="B55" s="4">
        <f>b_1*A55</f>
        <v>144.50085000000001</v>
      </c>
      <c r="C55" s="4">
        <f t="shared" si="14"/>
        <v>1228257.2250000001</v>
      </c>
      <c r="D55" s="5">
        <f t="shared" si="15"/>
        <v>177.74957499999999</v>
      </c>
      <c r="E55" s="5">
        <f t="shared" si="10"/>
        <v>218322199.73442939</v>
      </c>
      <c r="F55" s="4">
        <f t="shared" si="16"/>
        <v>275</v>
      </c>
      <c r="G55" s="4">
        <f>IF(getSign(F55) &lt; 0, F55, F55 - 0.85 * fc_prime)</f>
        <v>258</v>
      </c>
      <c r="H55" s="2">
        <f t="shared" si="17"/>
        <v>200</v>
      </c>
      <c r="I55" s="7">
        <f t="shared" si="18"/>
        <v>324212.36185046664</v>
      </c>
      <c r="J55" s="7">
        <f t="shared" si="11"/>
        <v>64842472.370093331</v>
      </c>
      <c r="K55" s="7">
        <f t="shared" si="19"/>
        <v>-275</v>
      </c>
      <c r="L55" s="7">
        <f>IF(getSign(K55) &lt; 0, K55, K55 - 0.85 * fc_prime)</f>
        <v>-275</v>
      </c>
      <c r="M55" s="2">
        <f t="shared" si="20"/>
        <v>-200</v>
      </c>
      <c r="N55" s="7">
        <f t="shared" si="21"/>
        <v>-345575.19189487724</v>
      </c>
      <c r="O55" s="7">
        <f t="shared" si="12"/>
        <v>69115038.378975451</v>
      </c>
      <c r="P55" s="7">
        <f t="shared" si="13"/>
        <v>352.27971048349815</v>
      </c>
      <c r="Q55" s="7">
        <f t="shared" si="22"/>
        <v>1206.8943949555894</v>
      </c>
    </row>
    <row r="56" spans="1:17" x14ac:dyDescent="0.25">
      <c r="A56" s="4">
        <f t="shared" si="23"/>
        <v>175.001</v>
      </c>
      <c r="B56" s="4">
        <f>b_1*A56</f>
        <v>148.75085000000001</v>
      </c>
      <c r="C56" s="4">
        <f t="shared" si="14"/>
        <v>1264382.2250000001</v>
      </c>
      <c r="D56" s="5">
        <f t="shared" si="15"/>
        <v>175.62457499999999</v>
      </c>
      <c r="E56" s="5">
        <f t="shared" si="10"/>
        <v>222056590.90317938</v>
      </c>
      <c r="F56" s="4">
        <f t="shared" si="16"/>
        <v>275</v>
      </c>
      <c r="G56" s="4">
        <f>IF(getSign(F56) &lt; 0, F56, F56 - 0.85 * fc_prime)</f>
        <v>258</v>
      </c>
      <c r="H56" s="2">
        <f t="shared" si="17"/>
        <v>200</v>
      </c>
      <c r="I56" s="7">
        <f t="shared" si="18"/>
        <v>324212.36185046664</v>
      </c>
      <c r="J56" s="7">
        <f t="shared" si="11"/>
        <v>64842472.370093331</v>
      </c>
      <c r="K56" s="7">
        <f t="shared" si="19"/>
        <v>-275</v>
      </c>
      <c r="L56" s="7">
        <f>IF(getSign(K56) &lt; 0, K56, K56 - 0.85 * fc_prime)</f>
        <v>-275</v>
      </c>
      <c r="M56" s="2">
        <f t="shared" si="20"/>
        <v>-200</v>
      </c>
      <c r="N56" s="7">
        <f t="shared" si="21"/>
        <v>-345575.19189487724</v>
      </c>
      <c r="O56" s="7">
        <f t="shared" si="12"/>
        <v>69115038.378975451</v>
      </c>
      <c r="P56" s="7">
        <f t="shared" si="13"/>
        <v>356.01410165224814</v>
      </c>
      <c r="Q56" s="7">
        <f t="shared" si="22"/>
        <v>1243.0193949555894</v>
      </c>
    </row>
    <row r="57" spans="1:17" x14ac:dyDescent="0.25">
      <c r="A57" s="4">
        <f t="shared" si="23"/>
        <v>180.001</v>
      </c>
      <c r="B57" s="4">
        <f>b_1*A57</f>
        <v>153.00085000000001</v>
      </c>
      <c r="C57" s="4">
        <f t="shared" si="14"/>
        <v>1300507.2250000001</v>
      </c>
      <c r="D57" s="5">
        <f t="shared" si="15"/>
        <v>173.49957499999999</v>
      </c>
      <c r="E57" s="5">
        <f t="shared" si="10"/>
        <v>225637450.8219294</v>
      </c>
      <c r="F57" s="4">
        <f t="shared" si="16"/>
        <v>275</v>
      </c>
      <c r="G57" s="4">
        <f>IF(getSign(F57) &lt; 0, F57, F57 - 0.85 * fc_prime)</f>
        <v>258</v>
      </c>
      <c r="H57" s="2">
        <f t="shared" si="17"/>
        <v>200</v>
      </c>
      <c r="I57" s="7">
        <f t="shared" si="18"/>
        <v>324212.36185046664</v>
      </c>
      <c r="J57" s="7">
        <f t="shared" si="11"/>
        <v>64842472.370093331</v>
      </c>
      <c r="K57" s="7">
        <f t="shared" si="19"/>
        <v>-275</v>
      </c>
      <c r="L57" s="7">
        <f>IF(getSign(K57) &lt; 0, K57, K57 - 0.85 * fc_prime)</f>
        <v>-275</v>
      </c>
      <c r="M57" s="2">
        <f t="shared" si="20"/>
        <v>-200</v>
      </c>
      <c r="N57" s="7">
        <f t="shared" si="21"/>
        <v>-345575.19189487724</v>
      </c>
      <c r="O57" s="7">
        <f t="shared" si="12"/>
        <v>69115038.378975451</v>
      </c>
      <c r="P57" s="7">
        <f t="shared" si="13"/>
        <v>359.59496157099818</v>
      </c>
      <c r="Q57" s="7">
        <f t="shared" si="22"/>
        <v>1279.1443949555894</v>
      </c>
    </row>
    <row r="58" spans="1:17" x14ac:dyDescent="0.25">
      <c r="A58" s="4">
        <f t="shared" si="23"/>
        <v>185.001</v>
      </c>
      <c r="B58" s="4">
        <f>b_1*A58</f>
        <v>157.25085000000001</v>
      </c>
      <c r="C58" s="4">
        <f t="shared" si="14"/>
        <v>1336632.2250000001</v>
      </c>
      <c r="D58" s="5">
        <f t="shared" si="15"/>
        <v>171.37457499999999</v>
      </c>
      <c r="E58" s="5">
        <f t="shared" si="10"/>
        <v>229064779.49067938</v>
      </c>
      <c r="F58" s="4">
        <f t="shared" si="16"/>
        <v>275</v>
      </c>
      <c r="G58" s="4">
        <f>IF(getSign(F58) &lt; 0, F58, F58 - 0.85 * fc_prime)</f>
        <v>258</v>
      </c>
      <c r="H58" s="2">
        <f t="shared" si="17"/>
        <v>200</v>
      </c>
      <c r="I58" s="7">
        <f t="shared" si="18"/>
        <v>324212.36185046664</v>
      </c>
      <c r="J58" s="7">
        <f t="shared" si="11"/>
        <v>64842472.370093331</v>
      </c>
      <c r="K58" s="7">
        <f t="shared" si="19"/>
        <v>-275</v>
      </c>
      <c r="L58" s="7">
        <f>IF(getSign(K58) &lt; 0, K58, K58 - 0.85 * fc_prime)</f>
        <v>-275</v>
      </c>
      <c r="M58" s="2">
        <f t="shared" si="20"/>
        <v>-200</v>
      </c>
      <c r="N58" s="7">
        <f t="shared" si="21"/>
        <v>-345575.19189487724</v>
      </c>
      <c r="O58" s="7">
        <f t="shared" si="12"/>
        <v>69115038.378975451</v>
      </c>
      <c r="P58" s="7">
        <f t="shared" si="13"/>
        <v>363.0222902397482</v>
      </c>
      <c r="Q58" s="7">
        <f t="shared" si="22"/>
        <v>1315.2693949555894</v>
      </c>
    </row>
    <row r="59" spans="1:17" x14ac:dyDescent="0.25">
      <c r="A59" s="4">
        <f t="shared" si="23"/>
        <v>190.001</v>
      </c>
      <c r="B59" s="4">
        <f>b_1*A59</f>
        <v>161.50085000000001</v>
      </c>
      <c r="C59" s="4">
        <f t="shared" si="14"/>
        <v>1372757.2250000001</v>
      </c>
      <c r="D59" s="5">
        <f t="shared" si="15"/>
        <v>169.24957499999999</v>
      </c>
      <c r="E59" s="5">
        <f t="shared" si="10"/>
        <v>232338576.90942937</v>
      </c>
      <c r="F59" s="4">
        <f t="shared" si="16"/>
        <v>275</v>
      </c>
      <c r="G59" s="4">
        <f>IF(getSign(F59) &lt; 0, F59, F59 - 0.85 * fc_prime)</f>
        <v>258</v>
      </c>
      <c r="H59" s="2">
        <f t="shared" si="17"/>
        <v>200</v>
      </c>
      <c r="I59" s="7">
        <f t="shared" si="18"/>
        <v>324212.36185046664</v>
      </c>
      <c r="J59" s="7">
        <f t="shared" si="11"/>
        <v>64842472.370093331</v>
      </c>
      <c r="K59" s="7">
        <f t="shared" si="19"/>
        <v>-275</v>
      </c>
      <c r="L59" s="7">
        <f>IF(getSign(K59) &lt; 0, K59, K59 - 0.85 * fc_prime)</f>
        <v>-275</v>
      </c>
      <c r="M59" s="2">
        <f t="shared" si="20"/>
        <v>-200</v>
      </c>
      <c r="N59" s="7">
        <f t="shared" si="21"/>
        <v>-345575.19189487724</v>
      </c>
      <c r="O59" s="7">
        <f t="shared" si="12"/>
        <v>69115038.378975451</v>
      </c>
      <c r="P59" s="7">
        <f t="shared" si="13"/>
        <v>366.29608765849815</v>
      </c>
      <c r="Q59" s="7">
        <f t="shared" si="22"/>
        <v>1351.3943949555894</v>
      </c>
    </row>
    <row r="60" spans="1:17" x14ac:dyDescent="0.25">
      <c r="A60" s="4">
        <f t="shared" si="23"/>
        <v>195.001</v>
      </c>
      <c r="B60" s="4">
        <f>b_1*A60</f>
        <v>165.75084999999999</v>
      </c>
      <c r="C60" s="4">
        <f t="shared" si="14"/>
        <v>1408882.2249999999</v>
      </c>
      <c r="D60" s="5">
        <f t="shared" si="15"/>
        <v>167.12457499999999</v>
      </c>
      <c r="E60" s="5">
        <f t="shared" si="10"/>
        <v>235458843.07817933</v>
      </c>
      <c r="F60" s="4">
        <f t="shared" si="16"/>
        <v>275</v>
      </c>
      <c r="G60" s="4">
        <f>IF(getSign(F60) &lt; 0, F60, F60 - 0.85 * fc_prime)</f>
        <v>258</v>
      </c>
      <c r="H60" s="2">
        <f t="shared" si="17"/>
        <v>200</v>
      </c>
      <c r="I60" s="7">
        <f t="shared" si="18"/>
        <v>324212.36185046664</v>
      </c>
      <c r="J60" s="7">
        <f t="shared" si="11"/>
        <v>64842472.370093331</v>
      </c>
      <c r="K60" s="7">
        <f t="shared" si="19"/>
        <v>-275</v>
      </c>
      <c r="L60" s="7">
        <f>IF(getSign(K60) &lt; 0, K60, K60 - 0.85 * fc_prime)</f>
        <v>-275</v>
      </c>
      <c r="M60" s="2">
        <f t="shared" si="20"/>
        <v>-200</v>
      </c>
      <c r="N60" s="7">
        <f t="shared" si="21"/>
        <v>-345575.19189487724</v>
      </c>
      <c r="O60" s="7">
        <f t="shared" si="12"/>
        <v>69115038.378975451</v>
      </c>
      <c r="P60" s="7">
        <f t="shared" si="13"/>
        <v>369.41635382724809</v>
      </c>
      <c r="Q60" s="7">
        <f t="shared" si="22"/>
        <v>1387.5193949555892</v>
      </c>
    </row>
    <row r="61" spans="1:17" x14ac:dyDescent="0.25">
      <c r="A61" s="4">
        <f t="shared" si="23"/>
        <v>200.001</v>
      </c>
      <c r="B61" s="4">
        <f>b_1*A61</f>
        <v>170.00084999999999</v>
      </c>
      <c r="C61" s="4">
        <f t="shared" si="14"/>
        <v>1445007.2249999999</v>
      </c>
      <c r="D61" s="5">
        <f t="shared" si="15"/>
        <v>164.99957499999999</v>
      </c>
      <c r="E61" s="5">
        <f t="shared" si="10"/>
        <v>238425577.99692935</v>
      </c>
      <c r="F61" s="4">
        <f t="shared" si="16"/>
        <v>275</v>
      </c>
      <c r="G61" s="4">
        <f>IF(getSign(F61) &lt; 0, F61, F61 - 0.85 * fc_prime)</f>
        <v>258</v>
      </c>
      <c r="H61" s="2">
        <f t="shared" si="17"/>
        <v>200</v>
      </c>
      <c r="I61" s="7">
        <f t="shared" si="18"/>
        <v>324212.36185046664</v>
      </c>
      <c r="J61" s="7">
        <f t="shared" si="11"/>
        <v>64842472.370093331</v>
      </c>
      <c r="K61" s="7">
        <f t="shared" si="19"/>
        <v>-275</v>
      </c>
      <c r="L61" s="7">
        <f>IF(getSign(K61) &lt; 0, K61, K61 - 0.85 * fc_prime)</f>
        <v>-275</v>
      </c>
      <c r="M61" s="2">
        <f t="shared" si="20"/>
        <v>-200</v>
      </c>
      <c r="N61" s="7">
        <f t="shared" si="21"/>
        <v>-345575.19189487724</v>
      </c>
      <c r="O61" s="7">
        <f t="shared" si="12"/>
        <v>69115038.378975451</v>
      </c>
      <c r="P61" s="7">
        <f t="shared" si="13"/>
        <v>372.38308874599812</v>
      </c>
      <c r="Q61" s="7">
        <f t="shared" si="22"/>
        <v>1423.6443949555892</v>
      </c>
    </row>
    <row r="62" spans="1:17" x14ac:dyDescent="0.25">
      <c r="A62" s="4">
        <f t="shared" si="23"/>
        <v>205.001</v>
      </c>
      <c r="B62" s="4">
        <f>b_1*A62</f>
        <v>174.25084999999999</v>
      </c>
      <c r="C62" s="4">
        <f t="shared" si="14"/>
        <v>1481132.2249999999</v>
      </c>
      <c r="D62" s="5">
        <f t="shared" si="15"/>
        <v>162.87457499999999</v>
      </c>
      <c r="E62" s="5">
        <f t="shared" si="10"/>
        <v>241238781.66567934</v>
      </c>
      <c r="F62" s="4">
        <f t="shared" si="16"/>
        <v>275</v>
      </c>
      <c r="G62" s="4">
        <f>IF(getSign(F62) &lt; 0, F62, F62 - 0.85 * fc_prime)</f>
        <v>258</v>
      </c>
      <c r="H62" s="2">
        <f t="shared" si="17"/>
        <v>200</v>
      </c>
      <c r="I62" s="7">
        <f t="shared" si="18"/>
        <v>324212.36185046664</v>
      </c>
      <c r="J62" s="7">
        <f t="shared" si="11"/>
        <v>64842472.370093331</v>
      </c>
      <c r="K62" s="7">
        <f t="shared" si="19"/>
        <v>-275</v>
      </c>
      <c r="L62" s="7">
        <f>IF(getSign(K62) &lt; 0, K62, K62 - 0.85 * fc_prime)</f>
        <v>-275</v>
      </c>
      <c r="M62" s="2">
        <f t="shared" si="20"/>
        <v>-200</v>
      </c>
      <c r="N62" s="7">
        <f t="shared" si="21"/>
        <v>-345575.19189487724</v>
      </c>
      <c r="O62" s="7">
        <f t="shared" si="12"/>
        <v>69115038.378975451</v>
      </c>
      <c r="P62" s="7">
        <f t="shared" si="13"/>
        <v>375.19629241474814</v>
      </c>
      <c r="Q62" s="7">
        <f t="shared" si="22"/>
        <v>1459.7693949555892</v>
      </c>
    </row>
    <row r="63" spans="1:17" x14ac:dyDescent="0.25">
      <c r="A63" s="4">
        <f t="shared" si="23"/>
        <v>210.001</v>
      </c>
      <c r="B63" s="4">
        <f>b_1*A63</f>
        <v>178.50084999999999</v>
      </c>
      <c r="C63" s="4">
        <f t="shared" si="14"/>
        <v>1517257.2249999999</v>
      </c>
      <c r="D63" s="5">
        <f t="shared" si="15"/>
        <v>160.74957499999999</v>
      </c>
      <c r="E63" s="5">
        <f t="shared" si="10"/>
        <v>243898454.08442935</v>
      </c>
      <c r="F63" s="4">
        <f t="shared" si="16"/>
        <v>275</v>
      </c>
      <c r="G63" s="4">
        <f>IF(getSign(F63) &lt; 0, F63, F63 - 0.85 * fc_prime)</f>
        <v>258</v>
      </c>
      <c r="H63" s="2">
        <f t="shared" si="17"/>
        <v>200</v>
      </c>
      <c r="I63" s="7">
        <f t="shared" si="18"/>
        <v>324212.36185046664</v>
      </c>
      <c r="J63" s="7">
        <f t="shared" si="11"/>
        <v>64842472.370093331</v>
      </c>
      <c r="K63" s="7">
        <f t="shared" si="19"/>
        <v>-275</v>
      </c>
      <c r="L63" s="7">
        <f>IF(getSign(K63) &lt; 0, K63, K63 - 0.85 * fc_prime)</f>
        <v>-275</v>
      </c>
      <c r="M63" s="2">
        <f t="shared" si="20"/>
        <v>-200</v>
      </c>
      <c r="N63" s="7">
        <f t="shared" si="21"/>
        <v>-345575.19189487724</v>
      </c>
      <c r="O63" s="7">
        <f t="shared" si="12"/>
        <v>69115038.378975451</v>
      </c>
      <c r="P63" s="7">
        <f t="shared" si="13"/>
        <v>377.85596483349809</v>
      </c>
      <c r="Q63" s="7">
        <f t="shared" si="22"/>
        <v>1495.8943949555892</v>
      </c>
    </row>
    <row r="64" spans="1:17" x14ac:dyDescent="0.25">
      <c r="A64" s="4">
        <f t="shared" si="23"/>
        <v>215.001</v>
      </c>
      <c r="B64" s="4">
        <f>b_1*A64</f>
        <v>182.75084999999999</v>
      </c>
      <c r="C64" s="4">
        <f t="shared" si="14"/>
        <v>1553382.2249999999</v>
      </c>
      <c r="D64" s="5">
        <f t="shared" si="15"/>
        <v>158.62457499999999</v>
      </c>
      <c r="E64" s="5">
        <f t="shared" si="10"/>
        <v>246404595.25317934</v>
      </c>
      <c r="F64" s="4">
        <f t="shared" si="16"/>
        <v>275</v>
      </c>
      <c r="G64" s="4">
        <f>IF(getSign(F64) &lt; 0, F64, F64 - 0.85 * fc_prime)</f>
        <v>258</v>
      </c>
      <c r="H64" s="2">
        <f t="shared" si="17"/>
        <v>200</v>
      </c>
      <c r="I64" s="7">
        <f t="shared" si="18"/>
        <v>324212.36185046664</v>
      </c>
      <c r="J64" s="7">
        <f t="shared" si="11"/>
        <v>64842472.370093331</v>
      </c>
      <c r="K64" s="7">
        <f t="shared" si="19"/>
        <v>-275</v>
      </c>
      <c r="L64" s="7">
        <f>IF(getSign(K64) &lt; 0, K64, K64 - 0.85 * fc_prime)</f>
        <v>-275</v>
      </c>
      <c r="M64" s="2">
        <f t="shared" si="20"/>
        <v>-200</v>
      </c>
      <c r="N64" s="7">
        <f t="shared" si="21"/>
        <v>-345575.19189487724</v>
      </c>
      <c r="O64" s="7">
        <f t="shared" si="12"/>
        <v>69115038.378975451</v>
      </c>
      <c r="P64" s="7">
        <f t="shared" si="13"/>
        <v>380.36210600224808</v>
      </c>
      <c r="Q64" s="7">
        <f t="shared" si="22"/>
        <v>1532.0193949555892</v>
      </c>
    </row>
    <row r="65" spans="1:17" x14ac:dyDescent="0.25">
      <c r="A65" s="4">
        <f t="shared" si="23"/>
        <v>220.001</v>
      </c>
      <c r="B65" s="4">
        <f>b_1*A65</f>
        <v>187.00084999999999</v>
      </c>
      <c r="C65" s="4">
        <f t="shared" si="14"/>
        <v>1589507.2249999999</v>
      </c>
      <c r="D65" s="5">
        <f t="shared" si="15"/>
        <v>156.49957499999999</v>
      </c>
      <c r="E65" s="5">
        <f t="shared" si="10"/>
        <v>248757205.17192933</v>
      </c>
      <c r="F65" s="4">
        <f t="shared" si="16"/>
        <v>275</v>
      </c>
      <c r="G65" s="4">
        <f>IF(getSign(F65) &lt; 0, F65, F65 - 0.85 * fc_prime)</f>
        <v>258</v>
      </c>
      <c r="H65" s="2">
        <f t="shared" si="17"/>
        <v>200</v>
      </c>
      <c r="I65" s="7">
        <f t="shared" si="18"/>
        <v>324212.36185046664</v>
      </c>
      <c r="J65" s="7">
        <f t="shared" si="11"/>
        <v>64842472.370093331</v>
      </c>
      <c r="K65" s="7">
        <f t="shared" si="19"/>
        <v>-275</v>
      </c>
      <c r="L65" s="7">
        <f>IF(getSign(K65) &lt; 0, K65, K65 - 0.85 * fc_prime)</f>
        <v>-275</v>
      </c>
      <c r="M65" s="2">
        <f t="shared" si="20"/>
        <v>-200</v>
      </c>
      <c r="N65" s="7">
        <f t="shared" si="21"/>
        <v>-345575.19189487724</v>
      </c>
      <c r="O65" s="7">
        <f t="shared" si="12"/>
        <v>69115038.378975451</v>
      </c>
      <c r="P65" s="7">
        <f t="shared" si="13"/>
        <v>382.71471592099812</v>
      </c>
      <c r="Q65" s="7">
        <f t="shared" si="22"/>
        <v>1568.1443949555892</v>
      </c>
    </row>
    <row r="66" spans="1:17" x14ac:dyDescent="0.25">
      <c r="A66" s="4">
        <f t="shared" si="23"/>
        <v>225.001</v>
      </c>
      <c r="B66" s="4">
        <f>b_1*A66</f>
        <v>191.25084999999999</v>
      </c>
      <c r="C66" s="4">
        <f t="shared" si="14"/>
        <v>1625632.2249999999</v>
      </c>
      <c r="D66" s="5">
        <f t="shared" si="15"/>
        <v>154.37457499999999</v>
      </c>
      <c r="E66" s="5">
        <f t="shared" si="10"/>
        <v>250956283.84067935</v>
      </c>
      <c r="F66" s="4">
        <f t="shared" si="16"/>
        <v>275</v>
      </c>
      <c r="G66" s="4">
        <f>IF(getSign(F66) &lt; 0, F66, F66 - 0.85 * fc_prime)</f>
        <v>258</v>
      </c>
      <c r="H66" s="2">
        <f t="shared" si="17"/>
        <v>200</v>
      </c>
      <c r="I66" s="7">
        <f t="shared" si="18"/>
        <v>324212.36185046664</v>
      </c>
      <c r="J66" s="7">
        <f t="shared" si="11"/>
        <v>64842472.370093331</v>
      </c>
      <c r="K66" s="7">
        <f t="shared" si="19"/>
        <v>-275</v>
      </c>
      <c r="L66" s="7">
        <f>IF(getSign(K66) &lt; 0, K66, K66 - 0.85 * fc_prime)</f>
        <v>-275</v>
      </c>
      <c r="M66" s="2">
        <f t="shared" si="20"/>
        <v>-200</v>
      </c>
      <c r="N66" s="7">
        <f t="shared" si="21"/>
        <v>-345575.19189487724</v>
      </c>
      <c r="O66" s="7">
        <f t="shared" si="12"/>
        <v>69115038.378975451</v>
      </c>
      <c r="P66" s="7">
        <f t="shared" si="13"/>
        <v>384.91379458974814</v>
      </c>
      <c r="Q66" s="7">
        <f t="shared" si="22"/>
        <v>1604.2693949555892</v>
      </c>
    </row>
    <row r="67" spans="1:17" x14ac:dyDescent="0.25">
      <c r="A67" s="4">
        <f t="shared" si="23"/>
        <v>230.001</v>
      </c>
      <c r="B67" s="4">
        <f>b_1*A67</f>
        <v>195.50084999999999</v>
      </c>
      <c r="C67" s="4">
        <f t="shared" si="14"/>
        <v>1661757.2249999999</v>
      </c>
      <c r="D67" s="5">
        <f t="shared" si="15"/>
        <v>152.24957499999999</v>
      </c>
      <c r="E67" s="5">
        <f t="shared" si="10"/>
        <v>253001831.25942934</v>
      </c>
      <c r="F67" s="4">
        <f t="shared" si="16"/>
        <v>275</v>
      </c>
      <c r="G67" s="4">
        <f>IF(getSign(F67) &lt; 0, F67, F67 - 0.85 * fc_prime)</f>
        <v>258</v>
      </c>
      <c r="H67" s="2">
        <f t="shared" si="17"/>
        <v>200</v>
      </c>
      <c r="I67" s="7">
        <f t="shared" si="18"/>
        <v>324212.36185046664</v>
      </c>
      <c r="J67" s="7">
        <f t="shared" si="11"/>
        <v>64842472.370093331</v>
      </c>
      <c r="K67" s="7">
        <f t="shared" si="19"/>
        <v>-275</v>
      </c>
      <c r="L67" s="7">
        <f>IF(getSign(K67) &lt; 0, K67, K67 - 0.85 * fc_prime)</f>
        <v>-275</v>
      </c>
      <c r="M67" s="2">
        <f t="shared" si="20"/>
        <v>-200</v>
      </c>
      <c r="N67" s="7">
        <f t="shared" si="21"/>
        <v>-345575.19189487724</v>
      </c>
      <c r="O67" s="7">
        <f t="shared" si="12"/>
        <v>69115038.378975451</v>
      </c>
      <c r="P67" s="7">
        <f t="shared" si="13"/>
        <v>386.95934200849814</v>
      </c>
      <c r="Q67" s="7">
        <f t="shared" si="22"/>
        <v>1640.3943949555892</v>
      </c>
    </row>
    <row r="68" spans="1:17" x14ac:dyDescent="0.25">
      <c r="A68" s="4">
        <f t="shared" si="23"/>
        <v>235.001</v>
      </c>
      <c r="B68" s="4">
        <f>b_1*A68</f>
        <v>199.75084999999999</v>
      </c>
      <c r="C68" s="4">
        <f t="shared" si="14"/>
        <v>1697882.2249999999</v>
      </c>
      <c r="D68" s="5">
        <f t="shared" si="15"/>
        <v>150.12457499999999</v>
      </c>
      <c r="E68" s="5">
        <f t="shared" si="10"/>
        <v>254893847.42817935</v>
      </c>
      <c r="F68" s="4">
        <f t="shared" si="16"/>
        <v>275</v>
      </c>
      <c r="G68" s="4">
        <f>IF(getSign(F68) &lt; 0, F68, F68 - 0.85 * fc_prime)</f>
        <v>258</v>
      </c>
      <c r="H68" s="2">
        <f t="shared" si="17"/>
        <v>200</v>
      </c>
      <c r="I68" s="7">
        <f t="shared" si="18"/>
        <v>324212.36185046664</v>
      </c>
      <c r="J68" s="7">
        <f t="shared" si="11"/>
        <v>64842472.370093331</v>
      </c>
      <c r="K68" s="7">
        <f t="shared" si="19"/>
        <v>-275</v>
      </c>
      <c r="L68" s="7">
        <f>IF(getSign(K68) &lt; 0, K68, K68 - 0.85 * fc_prime)</f>
        <v>-275</v>
      </c>
      <c r="M68" s="2">
        <f t="shared" si="20"/>
        <v>-200</v>
      </c>
      <c r="N68" s="7">
        <f t="shared" si="21"/>
        <v>-345575.19189487724</v>
      </c>
      <c r="O68" s="7">
        <f t="shared" si="12"/>
        <v>69115038.378975451</v>
      </c>
      <c r="P68" s="7">
        <f t="shared" si="13"/>
        <v>388.85135817724813</v>
      </c>
      <c r="Q68" s="7">
        <f t="shared" si="22"/>
        <v>1676.5193949555892</v>
      </c>
    </row>
    <row r="69" spans="1:17" x14ac:dyDescent="0.25">
      <c r="A69" s="4">
        <f t="shared" si="23"/>
        <v>240.001</v>
      </c>
      <c r="B69" s="4">
        <f>b_1*A69</f>
        <v>204.00084999999999</v>
      </c>
      <c r="C69" s="4">
        <f t="shared" si="14"/>
        <v>1734007.2249999999</v>
      </c>
      <c r="D69" s="5">
        <f t="shared" si="15"/>
        <v>147.99957499999999</v>
      </c>
      <c r="E69" s="5">
        <f t="shared" si="10"/>
        <v>256632332.34692934</v>
      </c>
      <c r="F69" s="4">
        <f t="shared" si="16"/>
        <v>275</v>
      </c>
      <c r="G69" s="4">
        <f>IF(getSign(F69) &lt; 0, F69, F69 - 0.85 * fc_prime)</f>
        <v>258</v>
      </c>
      <c r="H69" s="2">
        <f t="shared" si="17"/>
        <v>200</v>
      </c>
      <c r="I69" s="7">
        <f t="shared" si="18"/>
        <v>324212.36185046664</v>
      </c>
      <c r="J69" s="7">
        <f t="shared" si="11"/>
        <v>64842472.370093331</v>
      </c>
      <c r="K69" s="7">
        <f t="shared" si="19"/>
        <v>-275</v>
      </c>
      <c r="L69" s="7">
        <f>IF(getSign(K69) &lt; 0, K69, K69 - 0.85 * fc_prime)</f>
        <v>-275</v>
      </c>
      <c r="M69" s="2">
        <f t="shared" si="20"/>
        <v>-200</v>
      </c>
      <c r="N69" s="7">
        <f t="shared" si="21"/>
        <v>-345575.19189487724</v>
      </c>
      <c r="O69" s="7">
        <f t="shared" si="12"/>
        <v>69115038.378975451</v>
      </c>
      <c r="P69" s="7">
        <f t="shared" si="13"/>
        <v>390.58984309599811</v>
      </c>
      <c r="Q69" s="7">
        <f t="shared" si="22"/>
        <v>1712.6443949555892</v>
      </c>
    </row>
    <row r="70" spans="1:17" x14ac:dyDescent="0.25">
      <c r="A70" s="4">
        <f t="shared" si="23"/>
        <v>245.001</v>
      </c>
      <c r="B70" s="4">
        <f>b_1*A70</f>
        <v>208.25084999999999</v>
      </c>
      <c r="C70" s="4">
        <f t="shared" si="14"/>
        <v>1770132.2249999999</v>
      </c>
      <c r="D70" s="5">
        <f t="shared" si="15"/>
        <v>145.87457499999999</v>
      </c>
      <c r="E70" s="5">
        <f t="shared" si="10"/>
        <v>258217286.01567933</v>
      </c>
      <c r="F70" s="4">
        <f t="shared" si="16"/>
        <v>275</v>
      </c>
      <c r="G70" s="4">
        <f>IF(getSign(F70) &lt; 0, F70, F70 - 0.85 * fc_prime)</f>
        <v>258</v>
      </c>
      <c r="H70" s="2">
        <f t="shared" si="17"/>
        <v>200</v>
      </c>
      <c r="I70" s="7">
        <f t="shared" si="18"/>
        <v>324212.36185046664</v>
      </c>
      <c r="J70" s="7">
        <f t="shared" si="11"/>
        <v>64842472.370093331</v>
      </c>
      <c r="K70" s="7">
        <f t="shared" si="19"/>
        <v>-275</v>
      </c>
      <c r="L70" s="7">
        <f>IF(getSign(K70) &lt; 0, K70, K70 - 0.85 * fc_prime)</f>
        <v>-275</v>
      </c>
      <c r="M70" s="2">
        <f t="shared" si="20"/>
        <v>-200</v>
      </c>
      <c r="N70" s="7">
        <f t="shared" si="21"/>
        <v>-345575.19189487724</v>
      </c>
      <c r="O70" s="7">
        <f t="shared" si="12"/>
        <v>69115038.378975451</v>
      </c>
      <c r="P70" s="7">
        <f t="shared" si="13"/>
        <v>392.17479676474812</v>
      </c>
      <c r="Q70" s="7">
        <f t="shared" si="22"/>
        <v>1748.7693949555892</v>
      </c>
    </row>
    <row r="71" spans="1:17" x14ac:dyDescent="0.25">
      <c r="A71" s="4">
        <f t="shared" si="23"/>
        <v>250.001</v>
      </c>
      <c r="B71" s="4">
        <f>b_1*A71</f>
        <v>212.50084999999999</v>
      </c>
      <c r="C71" s="4">
        <f t="shared" si="14"/>
        <v>1806257.2249999999</v>
      </c>
      <c r="D71" s="5">
        <f t="shared" si="15"/>
        <v>143.74957499999999</v>
      </c>
      <c r="E71" s="5">
        <f t="shared" si="10"/>
        <v>259648708.43442935</v>
      </c>
      <c r="F71" s="4">
        <f t="shared" si="16"/>
        <v>275</v>
      </c>
      <c r="G71" s="4">
        <f>IF(getSign(F71) &lt; 0, F71, F71 - 0.85 * fc_prime)</f>
        <v>258</v>
      </c>
      <c r="H71" s="2">
        <f t="shared" si="17"/>
        <v>200</v>
      </c>
      <c r="I71" s="7">
        <f t="shared" si="18"/>
        <v>324212.36185046664</v>
      </c>
      <c r="J71" s="7">
        <f t="shared" si="11"/>
        <v>64842472.370093331</v>
      </c>
      <c r="K71" s="7">
        <f t="shared" si="19"/>
        <v>-275</v>
      </c>
      <c r="L71" s="7">
        <f>IF(getSign(K71) &lt; 0, K71, K71 - 0.85 * fc_prime)</f>
        <v>-275</v>
      </c>
      <c r="M71" s="2">
        <f t="shared" si="20"/>
        <v>-200</v>
      </c>
      <c r="N71" s="7">
        <f t="shared" si="21"/>
        <v>-345575.19189487724</v>
      </c>
      <c r="O71" s="7">
        <f t="shared" si="12"/>
        <v>69115038.378975451</v>
      </c>
      <c r="P71" s="7">
        <f t="shared" si="13"/>
        <v>393.60621918349813</v>
      </c>
      <c r="Q71" s="7">
        <f t="shared" si="22"/>
        <v>1784.8943949555894</v>
      </c>
    </row>
    <row r="72" spans="1:17" x14ac:dyDescent="0.25">
      <c r="A72" s="4">
        <f t="shared" si="23"/>
        <v>255.001</v>
      </c>
      <c r="B72" s="4">
        <f>b_1*A72</f>
        <v>216.75084999999999</v>
      </c>
      <c r="C72" s="4">
        <f t="shared" si="14"/>
        <v>1842382.2249999999</v>
      </c>
      <c r="D72" s="5">
        <f t="shared" si="15"/>
        <v>141.62457499999999</v>
      </c>
      <c r="E72" s="5">
        <f t="shared" si="10"/>
        <v>260926599.60317934</v>
      </c>
      <c r="F72" s="4">
        <f t="shared" si="16"/>
        <v>275</v>
      </c>
      <c r="G72" s="4">
        <f>IF(getSign(F72) &lt; 0, F72, F72 - 0.85 * fc_prime)</f>
        <v>258</v>
      </c>
      <c r="H72" s="2">
        <f t="shared" si="17"/>
        <v>200</v>
      </c>
      <c r="I72" s="7">
        <f t="shared" si="18"/>
        <v>324212.36185046664</v>
      </c>
      <c r="J72" s="7">
        <f t="shared" si="11"/>
        <v>64842472.370093331</v>
      </c>
      <c r="K72" s="7">
        <f t="shared" si="19"/>
        <v>-275</v>
      </c>
      <c r="L72" s="7">
        <f>IF(getSign(K72) &lt; 0, K72, K72 - 0.85 * fc_prime)</f>
        <v>-275</v>
      </c>
      <c r="M72" s="2">
        <f t="shared" si="20"/>
        <v>-200</v>
      </c>
      <c r="N72" s="7">
        <f t="shared" si="21"/>
        <v>-345575.19189487724</v>
      </c>
      <c r="O72" s="7">
        <f t="shared" si="12"/>
        <v>69115038.378975451</v>
      </c>
      <c r="P72" s="7">
        <f t="shared" si="13"/>
        <v>394.88411035224811</v>
      </c>
      <c r="Q72" s="7">
        <f t="shared" si="22"/>
        <v>1821.0193949555894</v>
      </c>
    </row>
    <row r="73" spans="1:17" x14ac:dyDescent="0.25">
      <c r="A73" s="4">
        <f t="shared" si="23"/>
        <v>260.00099999999998</v>
      </c>
      <c r="B73" s="4">
        <f>b_1*A73</f>
        <v>221.00084999999999</v>
      </c>
      <c r="C73" s="4">
        <f t="shared" si="14"/>
        <v>1878507.2249999999</v>
      </c>
      <c r="D73" s="5">
        <f t="shared" si="15"/>
        <v>139.49957499999999</v>
      </c>
      <c r="E73" s="5">
        <f t="shared" si="10"/>
        <v>262050959.52192935</v>
      </c>
      <c r="F73" s="4">
        <f t="shared" si="16"/>
        <v>275</v>
      </c>
      <c r="G73" s="4">
        <f>IF(getSign(F73) &lt; 0, F73, F73 - 0.85 * fc_prime)</f>
        <v>258</v>
      </c>
      <c r="H73" s="2">
        <f t="shared" si="17"/>
        <v>200</v>
      </c>
      <c r="I73" s="7">
        <f t="shared" si="18"/>
        <v>324212.36185046664</v>
      </c>
      <c r="J73" s="7">
        <f t="shared" si="11"/>
        <v>64842472.370093331</v>
      </c>
      <c r="K73" s="7">
        <f t="shared" si="19"/>
        <v>-275</v>
      </c>
      <c r="L73" s="7">
        <f>IF(getSign(K73) &lt; 0, K73, K73 - 0.85 * fc_prime)</f>
        <v>-275</v>
      </c>
      <c r="M73" s="2">
        <f t="shared" si="20"/>
        <v>-200</v>
      </c>
      <c r="N73" s="7">
        <f t="shared" si="21"/>
        <v>-345575.19189487724</v>
      </c>
      <c r="O73" s="7">
        <f t="shared" si="12"/>
        <v>69115038.378975451</v>
      </c>
      <c r="P73" s="7">
        <f t="shared" si="13"/>
        <v>396.00847027099815</v>
      </c>
      <c r="Q73" s="7">
        <f t="shared" si="22"/>
        <v>1857.1443949555894</v>
      </c>
    </row>
    <row r="74" spans="1:17" x14ac:dyDescent="0.25">
      <c r="A74" s="4">
        <f t="shared" si="23"/>
        <v>265.00099999999998</v>
      </c>
      <c r="B74" s="4">
        <f>b_1*A74</f>
        <v>225.25084999999999</v>
      </c>
      <c r="C74" s="4">
        <f t="shared" si="14"/>
        <v>1914632.2249999999</v>
      </c>
      <c r="D74" s="5">
        <f t="shared" si="15"/>
        <v>137.37457499999999</v>
      </c>
      <c r="E74" s="5">
        <f t="shared" si="10"/>
        <v>263021788.19067934</v>
      </c>
      <c r="F74" s="4">
        <f t="shared" si="16"/>
        <v>275</v>
      </c>
      <c r="G74" s="4">
        <f>IF(getSign(F74) &lt; 0, F74, F74 - 0.85 * fc_prime)</f>
        <v>258</v>
      </c>
      <c r="H74" s="2">
        <f t="shared" si="17"/>
        <v>200</v>
      </c>
      <c r="I74" s="7">
        <f t="shared" si="18"/>
        <v>324212.36185046664</v>
      </c>
      <c r="J74" s="7">
        <f t="shared" si="11"/>
        <v>64842472.370093331</v>
      </c>
      <c r="K74" s="7">
        <f t="shared" si="19"/>
        <v>-275</v>
      </c>
      <c r="L74" s="7">
        <f>IF(getSign(K74) &lt; 0, K74, K74 - 0.85 * fc_prime)</f>
        <v>-275</v>
      </c>
      <c r="M74" s="2">
        <f t="shared" si="20"/>
        <v>-200</v>
      </c>
      <c r="N74" s="7">
        <f t="shared" si="21"/>
        <v>-345575.19189487724</v>
      </c>
      <c r="O74" s="7">
        <f t="shared" si="12"/>
        <v>69115038.378975451</v>
      </c>
      <c r="P74" s="7">
        <f t="shared" si="13"/>
        <v>396.97929893974811</v>
      </c>
      <c r="Q74" s="7">
        <f t="shared" si="22"/>
        <v>1893.2693949555894</v>
      </c>
    </row>
    <row r="75" spans="1:17" x14ac:dyDescent="0.25">
      <c r="A75" s="4">
        <f t="shared" si="23"/>
        <v>270.00099999999998</v>
      </c>
      <c r="B75" s="4">
        <f>b_1*A75</f>
        <v>229.50084999999999</v>
      </c>
      <c r="C75" s="4">
        <f t="shared" si="14"/>
        <v>1950757.2249999999</v>
      </c>
      <c r="D75" s="5">
        <f t="shared" si="15"/>
        <v>135.24957499999999</v>
      </c>
      <c r="E75" s="5">
        <f t="shared" si="10"/>
        <v>263839085.60942933</v>
      </c>
      <c r="F75" s="4">
        <f t="shared" si="16"/>
        <v>275</v>
      </c>
      <c r="G75" s="4">
        <f>IF(getSign(F75) &lt; 0, F75, F75 - 0.85 * fc_prime)</f>
        <v>258</v>
      </c>
      <c r="H75" s="2">
        <f t="shared" si="17"/>
        <v>200</v>
      </c>
      <c r="I75" s="7">
        <f t="shared" si="18"/>
        <v>324212.36185046664</v>
      </c>
      <c r="J75" s="7">
        <f t="shared" si="11"/>
        <v>64842472.370093331</v>
      </c>
      <c r="K75" s="7">
        <f t="shared" si="19"/>
        <v>-275</v>
      </c>
      <c r="L75" s="7">
        <f>IF(getSign(K75) &lt; 0, K75, K75 - 0.85 * fc_prime)</f>
        <v>-275</v>
      </c>
      <c r="M75" s="2">
        <f t="shared" si="20"/>
        <v>-200</v>
      </c>
      <c r="N75" s="7">
        <f t="shared" si="21"/>
        <v>-345575.19189487724</v>
      </c>
      <c r="O75" s="7">
        <f t="shared" si="12"/>
        <v>69115038.378975451</v>
      </c>
      <c r="P75" s="7">
        <f t="shared" si="13"/>
        <v>397.79659635849811</v>
      </c>
      <c r="Q75" s="7">
        <f t="shared" si="22"/>
        <v>1929.3943949555894</v>
      </c>
    </row>
    <row r="76" spans="1:17" x14ac:dyDescent="0.25">
      <c r="A76" s="4">
        <f t="shared" si="23"/>
        <v>275.00099999999998</v>
      </c>
      <c r="B76" s="4">
        <f>b_1*A76</f>
        <v>233.75084999999999</v>
      </c>
      <c r="C76" s="4">
        <f t="shared" si="14"/>
        <v>1986882.2249999999</v>
      </c>
      <c r="D76" s="5">
        <f t="shared" si="15"/>
        <v>133.12457499999999</v>
      </c>
      <c r="E76" s="5">
        <f t="shared" si="10"/>
        <v>264502851.77817935</v>
      </c>
      <c r="F76" s="4">
        <f t="shared" si="16"/>
        <v>275</v>
      </c>
      <c r="G76" s="4">
        <f>IF(getSign(F76) &lt; 0, F76, F76 - 0.85 * fc_prime)</f>
        <v>258</v>
      </c>
      <c r="H76" s="2">
        <f t="shared" si="17"/>
        <v>200</v>
      </c>
      <c r="I76" s="7">
        <f t="shared" si="18"/>
        <v>324212.36185046664</v>
      </c>
      <c r="J76" s="7">
        <f t="shared" si="11"/>
        <v>64842472.370093331</v>
      </c>
      <c r="K76" s="7">
        <f t="shared" si="19"/>
        <v>-275</v>
      </c>
      <c r="L76" s="7">
        <f>IF(getSign(K76) &lt; 0, K76, K76 - 0.85 * fc_prime)</f>
        <v>-275</v>
      </c>
      <c r="M76" s="2">
        <f t="shared" si="20"/>
        <v>-200</v>
      </c>
      <c r="N76" s="7">
        <f t="shared" si="21"/>
        <v>-345575.19189487724</v>
      </c>
      <c r="O76" s="7">
        <f t="shared" si="12"/>
        <v>69115038.378975451</v>
      </c>
      <c r="P76" s="7">
        <f t="shared" si="13"/>
        <v>398.46036252724815</v>
      </c>
      <c r="Q76" s="7">
        <f t="shared" si="22"/>
        <v>1965.5193949555894</v>
      </c>
    </row>
    <row r="77" spans="1:17" x14ac:dyDescent="0.25">
      <c r="A77" s="4">
        <f t="shared" si="23"/>
        <v>280.00099999999998</v>
      </c>
      <c r="B77" s="4">
        <f>b_1*A77</f>
        <v>238.00084999999999</v>
      </c>
      <c r="C77" s="4">
        <f t="shared" si="14"/>
        <v>2023007.2249999999</v>
      </c>
      <c r="D77" s="5">
        <f t="shared" si="15"/>
        <v>130.99957499999999</v>
      </c>
      <c r="E77" s="5">
        <f t="shared" si="10"/>
        <v>265013086.69692934</v>
      </c>
      <c r="F77" s="4">
        <f t="shared" si="16"/>
        <v>275</v>
      </c>
      <c r="G77" s="4">
        <f>IF(getSign(F77) &lt; 0, F77, F77 - 0.85 * fc_prime)</f>
        <v>258</v>
      </c>
      <c r="H77" s="2">
        <f t="shared" si="17"/>
        <v>200</v>
      </c>
      <c r="I77" s="7">
        <f t="shared" si="18"/>
        <v>324212.36185046664</v>
      </c>
      <c r="J77" s="7">
        <f t="shared" si="11"/>
        <v>64842472.370093331</v>
      </c>
      <c r="K77" s="7">
        <f t="shared" si="19"/>
        <v>-275</v>
      </c>
      <c r="L77" s="7">
        <f>IF(getSign(K77) &lt; 0, K77, K77 - 0.85 * fc_prime)</f>
        <v>-275</v>
      </c>
      <c r="M77" s="2">
        <f t="shared" si="20"/>
        <v>-200</v>
      </c>
      <c r="N77" s="7">
        <f t="shared" si="21"/>
        <v>-345575.19189487724</v>
      </c>
      <c r="O77" s="7">
        <f t="shared" si="12"/>
        <v>69115038.378975451</v>
      </c>
      <c r="P77" s="7">
        <f t="shared" si="13"/>
        <v>398.97059744599812</v>
      </c>
      <c r="Q77" s="7">
        <f t="shared" si="22"/>
        <v>2001.6443949555894</v>
      </c>
    </row>
    <row r="78" spans="1:17" x14ac:dyDescent="0.25">
      <c r="A78" s="4">
        <f t="shared" si="23"/>
        <v>285.00099999999998</v>
      </c>
      <c r="B78" s="4">
        <f>b_1*A78</f>
        <v>242.25084999999999</v>
      </c>
      <c r="C78" s="4">
        <f t="shared" si="14"/>
        <v>2059132.2249999999</v>
      </c>
      <c r="D78" s="5">
        <f t="shared" si="15"/>
        <v>128.87457499999999</v>
      </c>
      <c r="E78" s="5">
        <f t="shared" si="10"/>
        <v>265369790.36567935</v>
      </c>
      <c r="F78" s="4">
        <f t="shared" si="16"/>
        <v>275</v>
      </c>
      <c r="G78" s="4">
        <f>IF(getSign(F78) &lt; 0, F78, F78 - 0.85 * fc_prime)</f>
        <v>258</v>
      </c>
      <c r="H78" s="2">
        <f t="shared" si="17"/>
        <v>200</v>
      </c>
      <c r="I78" s="7">
        <f t="shared" si="18"/>
        <v>324212.36185046664</v>
      </c>
      <c r="J78" s="7">
        <f t="shared" si="11"/>
        <v>64842472.370093331</v>
      </c>
      <c r="K78" s="7">
        <f t="shared" si="19"/>
        <v>-275</v>
      </c>
      <c r="L78" s="7">
        <f>IF(getSign(K78) &lt; 0, K78, K78 - 0.85 * fc_prime)</f>
        <v>-275</v>
      </c>
      <c r="M78" s="2">
        <f t="shared" si="20"/>
        <v>-200</v>
      </c>
      <c r="N78" s="7">
        <f t="shared" si="21"/>
        <v>-345575.19189487724</v>
      </c>
      <c r="O78" s="7">
        <f t="shared" si="12"/>
        <v>69115038.378975451</v>
      </c>
      <c r="P78" s="7">
        <f t="shared" si="13"/>
        <v>399.32730111474814</v>
      </c>
      <c r="Q78" s="7">
        <f t="shared" si="22"/>
        <v>2037.7693949555894</v>
      </c>
    </row>
    <row r="79" spans="1:17" x14ac:dyDescent="0.25">
      <c r="A79" s="4">
        <f t="shared" si="23"/>
        <v>290.00099999999998</v>
      </c>
      <c r="B79" s="4">
        <f>b_1*A79</f>
        <v>246.50084999999999</v>
      </c>
      <c r="C79" s="4">
        <f t="shared" si="14"/>
        <v>2095257.2249999999</v>
      </c>
      <c r="D79" s="5">
        <f t="shared" si="15"/>
        <v>126.74957500000001</v>
      </c>
      <c r="E79" s="5">
        <f t="shared" si="10"/>
        <v>265572962.78442937</v>
      </c>
      <c r="F79" s="4">
        <f t="shared" si="16"/>
        <v>275</v>
      </c>
      <c r="G79" s="4">
        <f>IF(getSign(F79) &lt; 0, F79, F79 - 0.85 * fc_prime)</f>
        <v>258</v>
      </c>
      <c r="H79" s="2">
        <f t="shared" si="17"/>
        <v>200</v>
      </c>
      <c r="I79" s="7">
        <f t="shared" si="18"/>
        <v>324212.36185046664</v>
      </c>
      <c r="J79" s="7">
        <f t="shared" si="11"/>
        <v>64842472.370093331</v>
      </c>
      <c r="K79" s="7">
        <f t="shared" si="19"/>
        <v>-275</v>
      </c>
      <c r="L79" s="7">
        <f>IF(getSign(K79) &lt; 0, K79, K79 - 0.85 * fc_prime)</f>
        <v>-275</v>
      </c>
      <c r="M79" s="2">
        <f t="shared" si="20"/>
        <v>-200</v>
      </c>
      <c r="N79" s="7">
        <f t="shared" si="21"/>
        <v>-345575.19189487724</v>
      </c>
      <c r="O79" s="7">
        <f t="shared" si="12"/>
        <v>69115038.378975451</v>
      </c>
      <c r="P79" s="7">
        <f t="shared" si="13"/>
        <v>399.5304735334982</v>
      </c>
      <c r="Q79" s="7">
        <f t="shared" si="22"/>
        <v>2073.8943949555896</v>
      </c>
    </row>
    <row r="80" spans="1:17" x14ac:dyDescent="0.25">
      <c r="A80" s="4">
        <f t="shared" si="23"/>
        <v>295.00099999999998</v>
      </c>
      <c r="B80" s="4">
        <f>b_1*A80</f>
        <v>250.75084999999999</v>
      </c>
      <c r="C80" s="4">
        <f t="shared" si="14"/>
        <v>2131382.2249999996</v>
      </c>
      <c r="D80" s="5">
        <f t="shared" si="15"/>
        <v>124.62457500000001</v>
      </c>
      <c r="E80" s="5">
        <f t="shared" si="10"/>
        <v>265622603.95317933</v>
      </c>
      <c r="F80" s="4">
        <f t="shared" si="16"/>
        <v>275</v>
      </c>
      <c r="G80" s="4">
        <f>IF(getSign(F80) &lt; 0, F80, F80 - 0.85 * fc_prime)</f>
        <v>258</v>
      </c>
      <c r="H80" s="2">
        <f t="shared" si="17"/>
        <v>200</v>
      </c>
      <c r="I80" s="7">
        <f t="shared" si="18"/>
        <v>324212.36185046664</v>
      </c>
      <c r="J80" s="7">
        <f t="shared" si="11"/>
        <v>64842472.370093331</v>
      </c>
      <c r="K80" s="7">
        <f t="shared" si="19"/>
        <v>-275</v>
      </c>
      <c r="L80" s="7">
        <f>IF(getSign(K80) &lt; 0, K80, K80 - 0.85 * fc_prime)</f>
        <v>-275</v>
      </c>
      <c r="M80" s="2">
        <f t="shared" si="20"/>
        <v>-200</v>
      </c>
      <c r="N80" s="7">
        <f t="shared" si="21"/>
        <v>-345575.19189487724</v>
      </c>
      <c r="O80" s="7">
        <f t="shared" si="12"/>
        <v>69115038.378975451</v>
      </c>
      <c r="P80" s="7">
        <f t="shared" si="13"/>
        <v>399.58011470224812</v>
      </c>
      <c r="Q80" s="7">
        <f t="shared" si="22"/>
        <v>2110.0193949555892</v>
      </c>
    </row>
    <row r="81" spans="1:17" x14ac:dyDescent="0.25">
      <c r="A81" s="4">
        <f t="shared" si="23"/>
        <v>300.00099999999998</v>
      </c>
      <c r="B81" s="4">
        <f>b_1*A81</f>
        <v>255.00084999999999</v>
      </c>
      <c r="C81" s="4">
        <f t="shared" si="14"/>
        <v>2167507.2249999996</v>
      </c>
      <c r="D81" s="5">
        <f t="shared" si="15"/>
        <v>122.49957500000001</v>
      </c>
      <c r="E81" s="5">
        <f t="shared" si="10"/>
        <v>265518713.87192935</v>
      </c>
      <c r="F81" s="4">
        <f t="shared" si="16"/>
        <v>275</v>
      </c>
      <c r="G81" s="4">
        <f>IF(getSign(F81) &lt; 0, F81, F81 - 0.85 * fc_prime)</f>
        <v>258</v>
      </c>
      <c r="H81" s="2">
        <f t="shared" si="17"/>
        <v>200</v>
      </c>
      <c r="I81" s="7">
        <f t="shared" si="18"/>
        <v>324212.36185046664</v>
      </c>
      <c r="J81" s="7">
        <f t="shared" si="11"/>
        <v>64842472.370093331</v>
      </c>
      <c r="K81" s="7">
        <f t="shared" si="19"/>
        <v>-275</v>
      </c>
      <c r="L81" s="7">
        <f>IF(getSign(K81) &lt; 0, K81, K81 - 0.85 * fc_prime)</f>
        <v>-275</v>
      </c>
      <c r="M81" s="2">
        <f t="shared" si="20"/>
        <v>-200</v>
      </c>
      <c r="N81" s="7">
        <f t="shared" si="21"/>
        <v>-345575.19189487724</v>
      </c>
      <c r="O81" s="7">
        <f t="shared" si="12"/>
        <v>69115038.378975451</v>
      </c>
      <c r="P81" s="7">
        <f t="shared" si="13"/>
        <v>399.47622462099815</v>
      </c>
      <c r="Q81" s="7">
        <f t="shared" si="22"/>
        <v>2146.1443949555892</v>
      </c>
    </row>
    <row r="82" spans="1:17" x14ac:dyDescent="0.25">
      <c r="A82" s="4">
        <f t="shared" si="23"/>
        <v>305.00099999999998</v>
      </c>
      <c r="B82" s="4">
        <f>b_1*A82</f>
        <v>259.25084999999996</v>
      </c>
      <c r="C82" s="4">
        <f t="shared" si="14"/>
        <v>2203632.2249999996</v>
      </c>
      <c r="D82" s="5">
        <f t="shared" si="15"/>
        <v>120.37457500000002</v>
      </c>
      <c r="E82" s="5">
        <f t="shared" si="10"/>
        <v>265261292.54067937</v>
      </c>
      <c r="F82" s="4">
        <f t="shared" si="16"/>
        <v>275</v>
      </c>
      <c r="G82" s="4">
        <f>IF(getSign(F82) &lt; 0, F82, F82 - 0.85 * fc_prime)</f>
        <v>258</v>
      </c>
      <c r="H82" s="2">
        <f t="shared" si="17"/>
        <v>200</v>
      </c>
      <c r="I82" s="7">
        <f t="shared" si="18"/>
        <v>324212.36185046664</v>
      </c>
      <c r="J82" s="7">
        <f t="shared" si="11"/>
        <v>64842472.370093331</v>
      </c>
      <c r="K82" s="7">
        <f t="shared" si="19"/>
        <v>-275</v>
      </c>
      <c r="L82" s="7">
        <f>IF(getSign(K82) &lt; 0, K82, K82 - 0.85 * fc_prime)</f>
        <v>-275</v>
      </c>
      <c r="M82" s="2">
        <f t="shared" si="20"/>
        <v>-200</v>
      </c>
      <c r="N82" s="7">
        <f t="shared" si="21"/>
        <v>-345575.19189487724</v>
      </c>
      <c r="O82" s="7">
        <f t="shared" si="12"/>
        <v>69115038.378975451</v>
      </c>
      <c r="P82" s="7">
        <f t="shared" si="13"/>
        <v>399.21880328974811</v>
      </c>
      <c r="Q82" s="7">
        <f t="shared" si="22"/>
        <v>2182.2693949555892</v>
      </c>
    </row>
    <row r="83" spans="1:17" x14ac:dyDescent="0.25">
      <c r="A83" s="4">
        <f t="shared" si="23"/>
        <v>310.00099999999998</v>
      </c>
      <c r="B83" s="4">
        <f>b_1*A83</f>
        <v>263.50084999999996</v>
      </c>
      <c r="C83" s="4">
        <f t="shared" si="14"/>
        <v>2239757.2249999996</v>
      </c>
      <c r="D83" s="5">
        <f t="shared" si="15"/>
        <v>118.24957500000002</v>
      </c>
      <c r="E83" s="5">
        <f t="shared" si="10"/>
        <v>264850339.95942938</v>
      </c>
      <c r="F83" s="4">
        <f t="shared" si="16"/>
        <v>275</v>
      </c>
      <c r="G83" s="4">
        <f>IF(getSign(F83) &lt; 0, F83, F83 - 0.85 * fc_prime)</f>
        <v>258</v>
      </c>
      <c r="H83" s="2">
        <f t="shared" si="17"/>
        <v>200</v>
      </c>
      <c r="I83" s="7">
        <f t="shared" si="18"/>
        <v>324212.36185046664</v>
      </c>
      <c r="J83" s="7">
        <f t="shared" si="11"/>
        <v>64842472.370093331</v>
      </c>
      <c r="K83" s="7">
        <f t="shared" si="19"/>
        <v>-275</v>
      </c>
      <c r="L83" s="7">
        <f>IF(getSign(K83) &lt; 0, K83, K83 - 0.85 * fc_prime)</f>
        <v>-275</v>
      </c>
      <c r="M83" s="2">
        <f t="shared" si="20"/>
        <v>-200</v>
      </c>
      <c r="N83" s="7">
        <f t="shared" si="21"/>
        <v>-345575.19189487724</v>
      </c>
      <c r="O83" s="7">
        <f t="shared" si="12"/>
        <v>69115038.378975451</v>
      </c>
      <c r="P83" s="7">
        <f t="shared" si="13"/>
        <v>398.80785070849817</v>
      </c>
      <c r="Q83" s="7">
        <f t="shared" si="22"/>
        <v>2218.3943949555892</v>
      </c>
    </row>
    <row r="84" spans="1:17" x14ac:dyDescent="0.25">
      <c r="A84" s="4">
        <f t="shared" si="23"/>
        <v>315.00099999999998</v>
      </c>
      <c r="B84" s="4">
        <f>b_1*A84</f>
        <v>267.75084999999996</v>
      </c>
      <c r="C84" s="4">
        <f t="shared" si="14"/>
        <v>2275882.2249999996</v>
      </c>
      <c r="D84" s="5">
        <f t="shared" si="15"/>
        <v>116.12457500000002</v>
      </c>
      <c r="E84" s="5">
        <f t="shared" si="10"/>
        <v>264285856.12817937</v>
      </c>
      <c r="F84" s="4">
        <f t="shared" si="16"/>
        <v>275</v>
      </c>
      <c r="G84" s="4">
        <f>IF(getSign(F84) &lt; 0, F84, F84 - 0.85 * fc_prime)</f>
        <v>258</v>
      </c>
      <c r="H84" s="2">
        <f t="shared" si="17"/>
        <v>200</v>
      </c>
      <c r="I84" s="7">
        <f t="shared" si="18"/>
        <v>324212.36185046664</v>
      </c>
      <c r="J84" s="7">
        <f t="shared" si="11"/>
        <v>64842472.370093331</v>
      </c>
      <c r="K84" s="7">
        <f t="shared" si="19"/>
        <v>-275</v>
      </c>
      <c r="L84" s="7">
        <f>IF(getSign(K84) &lt; 0, K84, K84 - 0.85 * fc_prime)</f>
        <v>-275</v>
      </c>
      <c r="M84" s="2">
        <f t="shared" si="20"/>
        <v>-200</v>
      </c>
      <c r="N84" s="7">
        <f t="shared" si="21"/>
        <v>-345575.19189487724</v>
      </c>
      <c r="O84" s="7">
        <f t="shared" si="12"/>
        <v>69115038.378975451</v>
      </c>
      <c r="P84" s="7">
        <f t="shared" si="13"/>
        <v>398.24336687724815</v>
      </c>
      <c r="Q84" s="7">
        <f t="shared" si="22"/>
        <v>2254.5193949555892</v>
      </c>
    </row>
    <row r="85" spans="1:17" x14ac:dyDescent="0.25">
      <c r="A85" s="4">
        <f t="shared" si="23"/>
        <v>320.00099999999998</v>
      </c>
      <c r="B85" s="4">
        <f>b_1*A85</f>
        <v>272.00084999999996</v>
      </c>
      <c r="C85" s="4">
        <f t="shared" ref="C85:C116" si="24">0.85 * fc_prime * B85 * b</f>
        <v>2312007.2249999996</v>
      </c>
      <c r="D85" s="5">
        <f t="shared" ref="D85:D116" si="25">ABS(h / 2) - (B85 / 2)</f>
        <v>113.99957500000002</v>
      </c>
      <c r="E85" s="5">
        <f t="shared" si="10"/>
        <v>263567841.04692939</v>
      </c>
      <c r="F85" s="4">
        <f t="shared" ref="F85:F116" si="26">getFs(d_1, A85, fy)</f>
        <v>275</v>
      </c>
      <c r="G85" s="4">
        <f>IF(getSign(F85) &lt; 0, F85, F85 - 0.85 * fc_prime)</f>
        <v>258</v>
      </c>
      <c r="H85" s="2">
        <f t="shared" ref="H85:H116" si="27">ABS(h / 2) - d_1</f>
        <v>200</v>
      </c>
      <c r="I85" s="7">
        <f t="shared" ref="I85:I116" si="28">G85 * As_1</f>
        <v>324212.36185046664</v>
      </c>
      <c r="J85" s="7">
        <f t="shared" si="11"/>
        <v>64842472.370093331</v>
      </c>
      <c r="K85" s="7">
        <f t="shared" ref="K85:K116" si="29">getFs(d_2, A85, fy)</f>
        <v>-275</v>
      </c>
      <c r="L85" s="7">
        <f>IF(getSign(K85) &lt; 0, K85, K85 - 0.85 * fc_prime)</f>
        <v>-275</v>
      </c>
      <c r="M85" s="2">
        <f t="shared" ref="M85:M116" si="30">ABS(h / 2) - d_2</f>
        <v>-200</v>
      </c>
      <c r="N85" s="7">
        <f t="shared" ref="N85:N116" si="31">As_2 * L85</f>
        <v>-345575.19189487724</v>
      </c>
      <c r="O85" s="7">
        <f t="shared" si="12"/>
        <v>69115038.378975451</v>
      </c>
      <c r="P85" s="7">
        <f t="shared" si="13"/>
        <v>397.52535179599818</v>
      </c>
      <c r="Q85" s="7">
        <f t="shared" ref="Q85:Q120" si="32">SUM(C85, I85, N85) / 1000</f>
        <v>2290.6443949555892</v>
      </c>
    </row>
    <row r="86" spans="1:17" x14ac:dyDescent="0.25">
      <c r="A86" s="4">
        <f t="shared" ref="A86:A117" si="33">A85 + increment</f>
        <v>325.00099999999998</v>
      </c>
      <c r="B86" s="4">
        <f>b_1*A86</f>
        <v>276.25084999999996</v>
      </c>
      <c r="C86" s="4">
        <f t="shared" si="24"/>
        <v>2348132.2249999996</v>
      </c>
      <c r="D86" s="5">
        <f t="shared" si="25"/>
        <v>111.87457500000002</v>
      </c>
      <c r="E86" s="5">
        <f t="shared" ref="E86:E120" si="34">C86 * D86</f>
        <v>262696294.71567938</v>
      </c>
      <c r="F86" s="4">
        <f t="shared" si="26"/>
        <v>275</v>
      </c>
      <c r="G86" s="4">
        <f>IF(getSign(F86) &lt; 0, F86, F86 - 0.85 * fc_prime)</f>
        <v>258</v>
      </c>
      <c r="H86" s="2">
        <f t="shared" si="27"/>
        <v>200</v>
      </c>
      <c r="I86" s="7">
        <f t="shared" si="28"/>
        <v>324212.36185046664</v>
      </c>
      <c r="J86" s="7">
        <f t="shared" ref="J86:J137" si="35">I86 * H86</f>
        <v>64842472.370093331</v>
      </c>
      <c r="K86" s="7">
        <f t="shared" si="29"/>
        <v>-275</v>
      </c>
      <c r="L86" s="7">
        <f>IF(getSign(K86) &lt; 0, K86, K86 - 0.85 * fc_prime)</f>
        <v>-275</v>
      </c>
      <c r="M86" s="2">
        <f t="shared" si="30"/>
        <v>-200</v>
      </c>
      <c r="N86" s="7">
        <f t="shared" si="31"/>
        <v>-345575.19189487724</v>
      </c>
      <c r="O86" s="7">
        <f t="shared" ref="O86:O137" si="36">N86 * M86</f>
        <v>69115038.378975451</v>
      </c>
      <c r="P86" s="7">
        <f t="shared" ref="P86:P120" si="37">SUM(E86, J86, O86) / (1000 ^ 2)</f>
        <v>396.65380546474813</v>
      </c>
      <c r="Q86" s="7">
        <f t="shared" si="32"/>
        <v>2326.7693949555892</v>
      </c>
    </row>
    <row r="87" spans="1:17" x14ac:dyDescent="0.25">
      <c r="A87" s="4">
        <f t="shared" si="33"/>
        <v>330.00099999999998</v>
      </c>
      <c r="B87" s="4">
        <f>b_1*A87</f>
        <v>280.50084999999996</v>
      </c>
      <c r="C87" s="4">
        <f t="shared" si="24"/>
        <v>2384257.2249999996</v>
      </c>
      <c r="D87" s="5">
        <f t="shared" si="25"/>
        <v>109.74957500000002</v>
      </c>
      <c r="E87" s="5">
        <f t="shared" si="34"/>
        <v>261671217.1344294</v>
      </c>
      <c r="F87" s="4">
        <f t="shared" si="26"/>
        <v>275</v>
      </c>
      <c r="G87" s="4">
        <f>IF(getSign(F87) &lt; 0, F87, F87 - 0.85 * fc_prime)</f>
        <v>258</v>
      </c>
      <c r="H87" s="2">
        <f t="shared" si="27"/>
        <v>200</v>
      </c>
      <c r="I87" s="7">
        <f t="shared" si="28"/>
        <v>324212.36185046664</v>
      </c>
      <c r="J87" s="7">
        <f t="shared" si="35"/>
        <v>64842472.370093331</v>
      </c>
      <c r="K87" s="7">
        <f t="shared" si="29"/>
        <v>-275</v>
      </c>
      <c r="L87" s="7">
        <f>IF(getSign(K87) &lt; 0, K87, K87 - 0.85 * fc_prime)</f>
        <v>-275</v>
      </c>
      <c r="M87" s="2">
        <f t="shared" si="30"/>
        <v>-200</v>
      </c>
      <c r="N87" s="7">
        <f t="shared" si="31"/>
        <v>-345575.19189487724</v>
      </c>
      <c r="O87" s="7">
        <f t="shared" si="36"/>
        <v>69115038.378975451</v>
      </c>
      <c r="P87" s="7">
        <f t="shared" si="37"/>
        <v>395.62872788349819</v>
      </c>
      <c r="Q87" s="7">
        <f t="shared" si="32"/>
        <v>2362.8943949555892</v>
      </c>
    </row>
    <row r="88" spans="1:17" x14ac:dyDescent="0.25">
      <c r="A88" s="4">
        <f t="shared" si="33"/>
        <v>335.00099999999998</v>
      </c>
      <c r="B88" s="4">
        <f>b_1*A88</f>
        <v>284.75084999999996</v>
      </c>
      <c r="C88" s="4">
        <f t="shared" si="24"/>
        <v>2420382.2249999996</v>
      </c>
      <c r="D88" s="5">
        <f t="shared" si="25"/>
        <v>107.62457500000002</v>
      </c>
      <c r="E88" s="5">
        <f t="shared" si="34"/>
        <v>260492608.30317938</v>
      </c>
      <c r="F88" s="4">
        <f t="shared" si="26"/>
        <v>275</v>
      </c>
      <c r="G88" s="4">
        <f>IF(getSign(F88) &lt; 0, F88, F88 - 0.85 * fc_prime)</f>
        <v>258</v>
      </c>
      <c r="H88" s="2">
        <f t="shared" si="27"/>
        <v>200</v>
      </c>
      <c r="I88" s="7">
        <f t="shared" si="28"/>
        <v>324212.36185046664</v>
      </c>
      <c r="J88" s="7">
        <f t="shared" si="35"/>
        <v>64842472.370093331</v>
      </c>
      <c r="K88" s="7">
        <f t="shared" si="29"/>
        <v>-275</v>
      </c>
      <c r="L88" s="7">
        <f>IF(getSign(K88) &lt; 0, K88, K88 - 0.85 * fc_prime)</f>
        <v>-275</v>
      </c>
      <c r="M88" s="2">
        <f t="shared" si="30"/>
        <v>-200</v>
      </c>
      <c r="N88" s="7">
        <f t="shared" si="31"/>
        <v>-345575.19189487724</v>
      </c>
      <c r="O88" s="7">
        <f t="shared" si="36"/>
        <v>69115038.378975451</v>
      </c>
      <c r="P88" s="7">
        <f t="shared" si="37"/>
        <v>394.45011905224817</v>
      </c>
      <c r="Q88" s="7">
        <f t="shared" si="32"/>
        <v>2399.0193949555892</v>
      </c>
    </row>
    <row r="89" spans="1:17" x14ac:dyDescent="0.25">
      <c r="A89" s="4">
        <f t="shared" si="33"/>
        <v>340.00099999999998</v>
      </c>
      <c r="B89" s="4">
        <f>b_1*A89</f>
        <v>289.00084999999996</v>
      </c>
      <c r="C89" s="4">
        <f t="shared" si="24"/>
        <v>2456507.2249999996</v>
      </c>
      <c r="D89" s="5">
        <f t="shared" si="25"/>
        <v>105.49957500000002</v>
      </c>
      <c r="E89" s="5">
        <f t="shared" si="34"/>
        <v>259160468.2219294</v>
      </c>
      <c r="F89" s="4">
        <f t="shared" si="26"/>
        <v>275</v>
      </c>
      <c r="G89" s="4">
        <f>IF(getSign(F89) &lt; 0, F89, F89 - 0.85 * fc_prime)</f>
        <v>258</v>
      </c>
      <c r="H89" s="2">
        <f t="shared" si="27"/>
        <v>200</v>
      </c>
      <c r="I89" s="7">
        <f t="shared" si="28"/>
        <v>324212.36185046664</v>
      </c>
      <c r="J89" s="7">
        <f t="shared" si="35"/>
        <v>64842472.370093331</v>
      </c>
      <c r="K89" s="7">
        <f t="shared" si="29"/>
        <v>-275</v>
      </c>
      <c r="L89" s="7">
        <f>IF(getSign(K89) &lt; 0, K89, K89 - 0.85 * fc_prime)</f>
        <v>-275</v>
      </c>
      <c r="M89" s="2">
        <f t="shared" si="30"/>
        <v>-200</v>
      </c>
      <c r="N89" s="7">
        <f t="shared" si="31"/>
        <v>-345575.19189487724</v>
      </c>
      <c r="O89" s="7">
        <f t="shared" si="36"/>
        <v>69115038.378975451</v>
      </c>
      <c r="P89" s="7">
        <f t="shared" si="37"/>
        <v>393.11797897099819</v>
      </c>
      <c r="Q89" s="7">
        <f t="shared" si="32"/>
        <v>2435.1443949555892</v>
      </c>
    </row>
    <row r="90" spans="1:17" x14ac:dyDescent="0.25">
      <c r="A90" s="4">
        <f t="shared" si="33"/>
        <v>345.00099999999998</v>
      </c>
      <c r="B90" s="4">
        <f>b_1*A90</f>
        <v>293.25084999999996</v>
      </c>
      <c r="C90" s="4">
        <f t="shared" si="24"/>
        <v>2492632.2249999996</v>
      </c>
      <c r="D90" s="5">
        <f t="shared" si="25"/>
        <v>103.37457500000002</v>
      </c>
      <c r="E90" s="5">
        <f t="shared" si="34"/>
        <v>257674796.89067939</v>
      </c>
      <c r="F90" s="4">
        <f t="shared" si="26"/>
        <v>275</v>
      </c>
      <c r="G90" s="4">
        <f>IF(getSign(F90) &lt; 0, F90, F90 - 0.85 * fc_prime)</f>
        <v>258</v>
      </c>
      <c r="H90" s="2">
        <f t="shared" si="27"/>
        <v>200</v>
      </c>
      <c r="I90" s="7">
        <f t="shared" si="28"/>
        <v>324212.36185046664</v>
      </c>
      <c r="J90" s="7">
        <f t="shared" si="35"/>
        <v>64842472.370093331</v>
      </c>
      <c r="K90" s="7">
        <f t="shared" si="29"/>
        <v>-275</v>
      </c>
      <c r="L90" s="7">
        <f>IF(getSign(K90) &lt; 0, K90, K90 - 0.85 * fc_prime)</f>
        <v>-275</v>
      </c>
      <c r="M90" s="2">
        <f t="shared" si="30"/>
        <v>-200</v>
      </c>
      <c r="N90" s="7">
        <f t="shared" si="31"/>
        <v>-345575.19189487724</v>
      </c>
      <c r="O90" s="7">
        <f t="shared" si="36"/>
        <v>69115038.378975451</v>
      </c>
      <c r="P90" s="7">
        <f t="shared" si="37"/>
        <v>391.63230763974815</v>
      </c>
      <c r="Q90" s="7">
        <f t="shared" si="32"/>
        <v>2471.2693949555892</v>
      </c>
    </row>
    <row r="91" spans="1:17" x14ac:dyDescent="0.25">
      <c r="A91" s="4">
        <f t="shared" si="33"/>
        <v>350.00099999999998</v>
      </c>
      <c r="B91" s="4">
        <f>b_1*A91</f>
        <v>297.50084999999996</v>
      </c>
      <c r="C91" s="4">
        <f t="shared" si="24"/>
        <v>2528757.2249999996</v>
      </c>
      <c r="D91" s="5">
        <f t="shared" si="25"/>
        <v>101.24957500000002</v>
      </c>
      <c r="E91" s="5">
        <f t="shared" si="34"/>
        <v>256035594.30942938</v>
      </c>
      <c r="F91" s="4">
        <f t="shared" si="26"/>
        <v>275</v>
      </c>
      <c r="G91" s="4">
        <f>IF(getSign(F91) &lt; 0, F91, F91 - 0.85 * fc_prime)</f>
        <v>258</v>
      </c>
      <c r="H91" s="2">
        <f t="shared" si="27"/>
        <v>200</v>
      </c>
      <c r="I91" s="7">
        <f t="shared" si="28"/>
        <v>324212.36185046664</v>
      </c>
      <c r="J91" s="7">
        <f t="shared" si="35"/>
        <v>64842472.370093331</v>
      </c>
      <c r="K91" s="7">
        <f t="shared" si="29"/>
        <v>-275</v>
      </c>
      <c r="L91" s="7">
        <f>IF(getSign(K91) &lt; 0, K91, K91 - 0.85 * fc_prime)</f>
        <v>-275</v>
      </c>
      <c r="M91" s="2">
        <f t="shared" si="30"/>
        <v>-200</v>
      </c>
      <c r="N91" s="7">
        <f t="shared" si="31"/>
        <v>-345575.19189487724</v>
      </c>
      <c r="O91" s="7">
        <f t="shared" si="36"/>
        <v>69115038.378975451</v>
      </c>
      <c r="P91" s="7">
        <f t="shared" si="37"/>
        <v>389.99310505849814</v>
      </c>
      <c r="Q91" s="7">
        <f t="shared" si="32"/>
        <v>2507.3943949555892</v>
      </c>
    </row>
    <row r="92" spans="1:17" x14ac:dyDescent="0.25">
      <c r="A92" s="4">
        <f t="shared" si="33"/>
        <v>355.00099999999998</v>
      </c>
      <c r="B92" s="4">
        <f>b_1*A92</f>
        <v>301.75084999999996</v>
      </c>
      <c r="C92" s="4">
        <f t="shared" si="24"/>
        <v>2564882.2249999996</v>
      </c>
      <c r="D92" s="5">
        <f t="shared" si="25"/>
        <v>99.124575000000021</v>
      </c>
      <c r="E92" s="5">
        <f t="shared" si="34"/>
        <v>254242860.4781794</v>
      </c>
      <c r="F92" s="4">
        <f t="shared" si="26"/>
        <v>275</v>
      </c>
      <c r="G92" s="4">
        <f>IF(getSign(F92) &lt; 0, F92, F92 - 0.85 * fc_prime)</f>
        <v>258</v>
      </c>
      <c r="H92" s="2">
        <f t="shared" si="27"/>
        <v>200</v>
      </c>
      <c r="I92" s="7">
        <f t="shared" si="28"/>
        <v>324212.36185046664</v>
      </c>
      <c r="J92" s="7">
        <f t="shared" si="35"/>
        <v>64842472.370093331</v>
      </c>
      <c r="K92" s="7">
        <f t="shared" si="29"/>
        <v>-275</v>
      </c>
      <c r="L92" s="7">
        <f>IF(getSign(K92) &lt; 0, K92, K92 - 0.85 * fc_prime)</f>
        <v>-275</v>
      </c>
      <c r="M92" s="2">
        <f t="shared" si="30"/>
        <v>-200</v>
      </c>
      <c r="N92" s="7">
        <f t="shared" si="31"/>
        <v>-345575.19189487724</v>
      </c>
      <c r="O92" s="7">
        <f t="shared" si="36"/>
        <v>69115038.378975451</v>
      </c>
      <c r="P92" s="7">
        <f t="shared" si="37"/>
        <v>388.20037122724818</v>
      </c>
      <c r="Q92" s="7">
        <f t="shared" si="32"/>
        <v>2543.5193949555892</v>
      </c>
    </row>
    <row r="93" spans="1:17" x14ac:dyDescent="0.25">
      <c r="A93" s="4">
        <f t="shared" si="33"/>
        <v>360.00099999999998</v>
      </c>
      <c r="B93" s="4">
        <f>b_1*A93</f>
        <v>306.00084999999996</v>
      </c>
      <c r="C93" s="4">
        <f t="shared" si="24"/>
        <v>2601007.2249999996</v>
      </c>
      <c r="D93" s="5">
        <f t="shared" si="25"/>
        <v>96.999575000000021</v>
      </c>
      <c r="E93" s="5">
        <f t="shared" si="34"/>
        <v>252296595.39692938</v>
      </c>
      <c r="F93" s="4">
        <f t="shared" si="26"/>
        <v>275</v>
      </c>
      <c r="G93" s="4">
        <f>IF(getSign(F93) &lt; 0, F93, F93 - 0.85 * fc_prime)</f>
        <v>258</v>
      </c>
      <c r="H93" s="2">
        <f t="shared" si="27"/>
        <v>200</v>
      </c>
      <c r="I93" s="7">
        <f t="shared" si="28"/>
        <v>324212.36185046664</v>
      </c>
      <c r="J93" s="7">
        <f t="shared" si="35"/>
        <v>64842472.370093331</v>
      </c>
      <c r="K93" s="7">
        <f t="shared" si="29"/>
        <v>-275</v>
      </c>
      <c r="L93" s="7">
        <f>IF(getSign(K93) &lt; 0, K93, K93 - 0.85 * fc_prime)</f>
        <v>-275</v>
      </c>
      <c r="M93" s="2">
        <f t="shared" si="30"/>
        <v>-200</v>
      </c>
      <c r="N93" s="7">
        <f t="shared" si="31"/>
        <v>-345575.19189487724</v>
      </c>
      <c r="O93" s="7">
        <f t="shared" si="36"/>
        <v>69115038.378975451</v>
      </c>
      <c r="P93" s="7">
        <f t="shared" si="37"/>
        <v>386.25410614599821</v>
      </c>
      <c r="Q93" s="7">
        <f t="shared" si="32"/>
        <v>2579.6443949555892</v>
      </c>
    </row>
    <row r="94" spans="1:17" x14ac:dyDescent="0.25">
      <c r="A94" s="4">
        <f t="shared" si="33"/>
        <v>365.00099999999998</v>
      </c>
      <c r="B94" s="4">
        <f>b_1*A94</f>
        <v>310.25084999999996</v>
      </c>
      <c r="C94" s="4">
        <f t="shared" si="24"/>
        <v>2637132.2249999996</v>
      </c>
      <c r="D94" s="5">
        <f t="shared" si="25"/>
        <v>94.874575000000021</v>
      </c>
      <c r="E94" s="5">
        <f t="shared" si="34"/>
        <v>250196799.0656794</v>
      </c>
      <c r="F94" s="4">
        <f t="shared" si="26"/>
        <v>275</v>
      </c>
      <c r="G94" s="4">
        <f>IF(getSign(F94) &lt; 0, F94, F94 - 0.85 * fc_prime)</f>
        <v>258</v>
      </c>
      <c r="H94" s="2">
        <f t="shared" si="27"/>
        <v>200</v>
      </c>
      <c r="I94" s="7">
        <f t="shared" si="28"/>
        <v>324212.36185046664</v>
      </c>
      <c r="J94" s="7">
        <f t="shared" si="35"/>
        <v>64842472.370093331</v>
      </c>
      <c r="K94" s="7">
        <f t="shared" si="29"/>
        <v>-275</v>
      </c>
      <c r="L94" s="7">
        <f>IF(getSign(K94) &lt; 0, K94, K94 - 0.85 * fc_prime)</f>
        <v>-275</v>
      </c>
      <c r="M94" s="2">
        <f t="shared" si="30"/>
        <v>-200</v>
      </c>
      <c r="N94" s="7">
        <f t="shared" si="31"/>
        <v>-345575.19189487724</v>
      </c>
      <c r="O94" s="7">
        <f t="shared" si="36"/>
        <v>69115038.378975451</v>
      </c>
      <c r="P94" s="7">
        <f t="shared" si="37"/>
        <v>384.15430981474816</v>
      </c>
      <c r="Q94" s="7">
        <f t="shared" si="32"/>
        <v>2615.7693949555892</v>
      </c>
    </row>
    <row r="95" spans="1:17" x14ac:dyDescent="0.25">
      <c r="A95" s="4">
        <f t="shared" si="33"/>
        <v>370.00099999999998</v>
      </c>
      <c r="B95" s="4">
        <f>b_1*A95</f>
        <v>314.50084999999996</v>
      </c>
      <c r="C95" s="4">
        <f t="shared" si="24"/>
        <v>2673257.2249999996</v>
      </c>
      <c r="D95" s="5">
        <f t="shared" si="25"/>
        <v>92.749575000000021</v>
      </c>
      <c r="E95" s="5">
        <f t="shared" si="34"/>
        <v>247943471.48442939</v>
      </c>
      <c r="F95" s="4">
        <f t="shared" si="26"/>
        <v>275</v>
      </c>
      <c r="G95" s="4">
        <f>IF(getSign(F95) &lt; 0, F95, F95 - 0.85 * fc_prime)</f>
        <v>258</v>
      </c>
      <c r="H95" s="2">
        <f t="shared" si="27"/>
        <v>200</v>
      </c>
      <c r="I95" s="7">
        <f t="shared" si="28"/>
        <v>324212.36185046664</v>
      </c>
      <c r="J95" s="7">
        <f t="shared" si="35"/>
        <v>64842472.370093331</v>
      </c>
      <c r="K95" s="7">
        <f t="shared" si="29"/>
        <v>-275</v>
      </c>
      <c r="L95" s="7">
        <f>IF(getSign(K95) &lt; 0, K95, K95 - 0.85 * fc_prime)</f>
        <v>-275</v>
      </c>
      <c r="M95" s="2">
        <f t="shared" si="30"/>
        <v>-200</v>
      </c>
      <c r="N95" s="7">
        <f t="shared" si="31"/>
        <v>-345575.19189487724</v>
      </c>
      <c r="O95" s="7">
        <f t="shared" si="36"/>
        <v>69115038.378975451</v>
      </c>
      <c r="P95" s="7">
        <f t="shared" si="37"/>
        <v>381.90098223349815</v>
      </c>
      <c r="Q95" s="7">
        <f t="shared" si="32"/>
        <v>2651.8943949555892</v>
      </c>
    </row>
    <row r="96" spans="1:17" x14ac:dyDescent="0.25">
      <c r="A96" s="4">
        <f t="shared" si="33"/>
        <v>375.00099999999998</v>
      </c>
      <c r="B96" s="4">
        <f>b_1*A96</f>
        <v>318.75084999999996</v>
      </c>
      <c r="C96" s="4">
        <f t="shared" si="24"/>
        <v>2709382.2249999996</v>
      </c>
      <c r="D96" s="5">
        <f t="shared" si="25"/>
        <v>90.624575000000021</v>
      </c>
      <c r="E96" s="5">
        <f t="shared" si="34"/>
        <v>245536612.65317941</v>
      </c>
      <c r="F96" s="4">
        <f t="shared" si="26"/>
        <v>275</v>
      </c>
      <c r="G96" s="4">
        <f>IF(getSign(F96) &lt; 0, F96, F96 - 0.85 * fc_prime)</f>
        <v>258</v>
      </c>
      <c r="H96" s="2">
        <f t="shared" si="27"/>
        <v>200</v>
      </c>
      <c r="I96" s="7">
        <f t="shared" si="28"/>
        <v>324212.36185046664</v>
      </c>
      <c r="J96" s="7">
        <f t="shared" si="35"/>
        <v>64842472.370093331</v>
      </c>
      <c r="K96" s="7">
        <f t="shared" si="29"/>
        <v>-275</v>
      </c>
      <c r="L96" s="7">
        <f>IF(getSign(K96) &lt; 0, K96, K96 - 0.85 * fc_prime)</f>
        <v>-275</v>
      </c>
      <c r="M96" s="2">
        <f t="shared" si="30"/>
        <v>-200</v>
      </c>
      <c r="N96" s="7">
        <f t="shared" si="31"/>
        <v>-345575.19189487724</v>
      </c>
      <c r="O96" s="7">
        <f t="shared" si="36"/>
        <v>69115038.378975451</v>
      </c>
      <c r="P96" s="7">
        <f t="shared" si="37"/>
        <v>379.49412340224819</v>
      </c>
      <c r="Q96" s="7">
        <f t="shared" si="32"/>
        <v>2688.0193949555892</v>
      </c>
    </row>
    <row r="97" spans="1:17" x14ac:dyDescent="0.25">
      <c r="A97" s="4">
        <f t="shared" si="33"/>
        <v>380.00099999999998</v>
      </c>
      <c r="B97" s="4">
        <f>b_1*A97</f>
        <v>323.00084999999996</v>
      </c>
      <c r="C97" s="4">
        <f t="shared" si="24"/>
        <v>2745507.2249999996</v>
      </c>
      <c r="D97" s="5">
        <f t="shared" si="25"/>
        <v>88.499575000000021</v>
      </c>
      <c r="E97" s="5">
        <f t="shared" si="34"/>
        <v>242976222.5719294</v>
      </c>
      <c r="F97" s="4">
        <f t="shared" si="26"/>
        <v>275</v>
      </c>
      <c r="G97" s="4">
        <f>IF(getSign(F97) &lt; 0, F97, F97 - 0.85 * fc_prime)</f>
        <v>258</v>
      </c>
      <c r="H97" s="2">
        <f t="shared" si="27"/>
        <v>200</v>
      </c>
      <c r="I97" s="7">
        <f t="shared" si="28"/>
        <v>324212.36185046664</v>
      </c>
      <c r="J97" s="7">
        <f t="shared" si="35"/>
        <v>64842472.370093331</v>
      </c>
      <c r="K97" s="7">
        <f t="shared" si="29"/>
        <v>-275</v>
      </c>
      <c r="L97" s="7">
        <f>IF(getSign(K97) &lt; 0, K97, K97 - 0.85 * fc_prime)</f>
        <v>-275</v>
      </c>
      <c r="M97" s="2">
        <f t="shared" si="30"/>
        <v>-200</v>
      </c>
      <c r="N97" s="7">
        <f t="shared" si="31"/>
        <v>-345575.19189487724</v>
      </c>
      <c r="O97" s="7">
        <f t="shared" si="36"/>
        <v>69115038.378975451</v>
      </c>
      <c r="P97" s="7">
        <f t="shared" si="37"/>
        <v>376.93373332099821</v>
      </c>
      <c r="Q97" s="7">
        <f t="shared" si="32"/>
        <v>2724.1443949555892</v>
      </c>
    </row>
    <row r="98" spans="1:17" x14ac:dyDescent="0.25">
      <c r="A98" s="4">
        <f t="shared" si="33"/>
        <v>385.00099999999998</v>
      </c>
      <c r="B98" s="4">
        <f>b_1*A98</f>
        <v>327.25084999999996</v>
      </c>
      <c r="C98" s="4">
        <f t="shared" si="24"/>
        <v>2781632.2249999996</v>
      </c>
      <c r="D98" s="5">
        <f t="shared" si="25"/>
        <v>86.374575000000021</v>
      </c>
      <c r="E98" s="5">
        <f t="shared" si="34"/>
        <v>240262301.24067941</v>
      </c>
      <c r="F98" s="4">
        <f t="shared" si="26"/>
        <v>275</v>
      </c>
      <c r="G98" s="4">
        <f>IF(getSign(F98) &lt; 0, F98, F98 - 0.85 * fc_prime)</f>
        <v>258</v>
      </c>
      <c r="H98" s="2">
        <f t="shared" si="27"/>
        <v>200</v>
      </c>
      <c r="I98" s="7">
        <f t="shared" si="28"/>
        <v>324212.36185046664</v>
      </c>
      <c r="J98" s="7">
        <f t="shared" si="35"/>
        <v>64842472.370093331</v>
      </c>
      <c r="K98" s="7">
        <f t="shared" si="29"/>
        <v>-275</v>
      </c>
      <c r="L98" s="7">
        <f>IF(getSign(K98) &lt; 0, K98, K98 - 0.85 * fc_prime)</f>
        <v>-275</v>
      </c>
      <c r="M98" s="2">
        <f t="shared" si="30"/>
        <v>-200</v>
      </c>
      <c r="N98" s="7">
        <f t="shared" si="31"/>
        <v>-345575.19189487724</v>
      </c>
      <c r="O98" s="7">
        <f t="shared" si="36"/>
        <v>69115038.378975451</v>
      </c>
      <c r="P98" s="7">
        <f t="shared" si="37"/>
        <v>374.21981198974817</v>
      </c>
      <c r="Q98" s="7">
        <f t="shared" si="32"/>
        <v>2760.2693949555892</v>
      </c>
    </row>
    <row r="99" spans="1:17" x14ac:dyDescent="0.25">
      <c r="A99" s="4">
        <f t="shared" si="33"/>
        <v>390.00099999999998</v>
      </c>
      <c r="B99" s="4">
        <f>b_1*A99</f>
        <v>331.50084999999996</v>
      </c>
      <c r="C99" s="4">
        <f t="shared" si="24"/>
        <v>2817757.2249999996</v>
      </c>
      <c r="D99" s="5">
        <f t="shared" si="25"/>
        <v>84.249575000000021</v>
      </c>
      <c r="E99" s="5">
        <f t="shared" si="34"/>
        <v>237394848.6594294</v>
      </c>
      <c r="F99" s="4">
        <f t="shared" si="26"/>
        <v>275</v>
      </c>
      <c r="G99" s="4">
        <f>IF(getSign(F99) &lt; 0, F99, F99 - 0.85 * fc_prime)</f>
        <v>258</v>
      </c>
      <c r="H99" s="2">
        <f t="shared" si="27"/>
        <v>200</v>
      </c>
      <c r="I99" s="7">
        <f t="shared" si="28"/>
        <v>324212.36185046664</v>
      </c>
      <c r="J99" s="7">
        <f t="shared" si="35"/>
        <v>64842472.370093331</v>
      </c>
      <c r="K99" s="7">
        <f t="shared" si="29"/>
        <v>-275</v>
      </c>
      <c r="L99" s="7">
        <f>IF(getSign(K99) &lt; 0, K99, K99 - 0.85 * fc_prime)</f>
        <v>-275</v>
      </c>
      <c r="M99" s="2">
        <f t="shared" si="30"/>
        <v>-200</v>
      </c>
      <c r="N99" s="7">
        <f t="shared" si="31"/>
        <v>-345575.19189487724</v>
      </c>
      <c r="O99" s="7">
        <f t="shared" si="36"/>
        <v>69115038.378975451</v>
      </c>
      <c r="P99" s="7">
        <f t="shared" si="37"/>
        <v>371.35235940849816</v>
      </c>
      <c r="Q99" s="7">
        <f t="shared" si="32"/>
        <v>2796.3943949555892</v>
      </c>
    </row>
    <row r="100" spans="1:17" x14ac:dyDescent="0.25">
      <c r="A100" s="4">
        <f t="shared" si="33"/>
        <v>395.00099999999998</v>
      </c>
      <c r="B100" s="4">
        <f>b_1*A100</f>
        <v>335.75084999999996</v>
      </c>
      <c r="C100" s="4">
        <f t="shared" si="24"/>
        <v>2853882.2249999996</v>
      </c>
      <c r="D100" s="5">
        <f t="shared" si="25"/>
        <v>82.124575000000021</v>
      </c>
      <c r="E100" s="5">
        <f t="shared" si="34"/>
        <v>234373864.82817942</v>
      </c>
      <c r="F100" s="4">
        <f t="shared" si="26"/>
        <v>275</v>
      </c>
      <c r="G100" s="4">
        <f>IF(getSign(F100) &lt; 0, F100, F100 - 0.85 * fc_prime)</f>
        <v>258</v>
      </c>
      <c r="H100" s="2">
        <f t="shared" si="27"/>
        <v>200</v>
      </c>
      <c r="I100" s="7">
        <f t="shared" si="28"/>
        <v>324212.36185046664</v>
      </c>
      <c r="J100" s="7">
        <f t="shared" si="35"/>
        <v>64842472.370093331</v>
      </c>
      <c r="K100" s="7">
        <f t="shared" si="29"/>
        <v>-275</v>
      </c>
      <c r="L100" s="7">
        <f>IF(getSign(K100) &lt; 0, K100, K100 - 0.85 * fc_prime)</f>
        <v>-275</v>
      </c>
      <c r="M100" s="2">
        <f t="shared" si="30"/>
        <v>-200</v>
      </c>
      <c r="N100" s="7">
        <f t="shared" si="31"/>
        <v>-345575.19189487724</v>
      </c>
      <c r="O100" s="7">
        <f t="shared" si="36"/>
        <v>69115038.378975451</v>
      </c>
      <c r="P100" s="7">
        <f t="shared" si="37"/>
        <v>368.3313755772482</v>
      </c>
      <c r="Q100" s="7">
        <f t="shared" si="32"/>
        <v>2832.5193949555892</v>
      </c>
    </row>
    <row r="101" spans="1:17" x14ac:dyDescent="0.25">
      <c r="A101" s="4">
        <f t="shared" si="33"/>
        <v>400.00099999999998</v>
      </c>
      <c r="B101" s="4">
        <f>b_1*A101</f>
        <v>340.00084999999996</v>
      </c>
      <c r="C101" s="4">
        <f t="shared" si="24"/>
        <v>2890007.2249999996</v>
      </c>
      <c r="D101" s="5">
        <f t="shared" si="25"/>
        <v>79.999575000000021</v>
      </c>
      <c r="E101" s="5">
        <f t="shared" si="34"/>
        <v>231199349.74692941</v>
      </c>
      <c r="F101" s="4">
        <f t="shared" si="26"/>
        <v>275</v>
      </c>
      <c r="G101" s="4">
        <f>IF(getSign(F101) &lt; 0, F101, F101 - 0.85 * fc_prime)</f>
        <v>258</v>
      </c>
      <c r="H101" s="2">
        <f t="shared" si="27"/>
        <v>200</v>
      </c>
      <c r="I101" s="7">
        <f t="shared" si="28"/>
        <v>324212.36185046664</v>
      </c>
      <c r="J101" s="7">
        <f t="shared" si="35"/>
        <v>64842472.370093331</v>
      </c>
      <c r="K101" s="7">
        <f t="shared" si="29"/>
        <v>-275</v>
      </c>
      <c r="L101" s="7">
        <f>IF(getSign(K101) &lt; 0, K101, K101 - 0.85 * fc_prime)</f>
        <v>-275</v>
      </c>
      <c r="M101" s="2">
        <f t="shared" si="30"/>
        <v>-200</v>
      </c>
      <c r="N101" s="7">
        <f t="shared" si="31"/>
        <v>-345575.19189487724</v>
      </c>
      <c r="O101" s="7">
        <f t="shared" si="36"/>
        <v>69115038.378975451</v>
      </c>
      <c r="P101" s="7">
        <f t="shared" si="37"/>
        <v>365.15686049599822</v>
      </c>
      <c r="Q101" s="7">
        <f t="shared" si="32"/>
        <v>2868.6443949555892</v>
      </c>
    </row>
    <row r="102" spans="1:17" x14ac:dyDescent="0.25">
      <c r="A102" s="4">
        <f t="shared" si="33"/>
        <v>405.00099999999998</v>
      </c>
      <c r="B102" s="4">
        <f>b_1*A102</f>
        <v>344.25084999999996</v>
      </c>
      <c r="C102" s="4">
        <f t="shared" si="24"/>
        <v>2926132.2249999996</v>
      </c>
      <c r="D102" s="5">
        <f t="shared" si="25"/>
        <v>77.874575000000021</v>
      </c>
      <c r="E102" s="5">
        <f t="shared" si="34"/>
        <v>227871303.4156794</v>
      </c>
      <c r="F102" s="4">
        <f t="shared" si="26"/>
        <v>275</v>
      </c>
      <c r="G102" s="4">
        <f>IF(getSign(F102) &lt; 0, F102, F102 - 0.85 * fc_prime)</f>
        <v>258</v>
      </c>
      <c r="H102" s="2">
        <f t="shared" si="27"/>
        <v>200</v>
      </c>
      <c r="I102" s="7">
        <f t="shared" si="28"/>
        <v>324212.36185046664</v>
      </c>
      <c r="J102" s="7">
        <f t="shared" si="35"/>
        <v>64842472.370093331</v>
      </c>
      <c r="K102" s="7">
        <f t="shared" si="29"/>
        <v>-275</v>
      </c>
      <c r="L102" s="7">
        <f>IF(getSign(K102) &lt; 0, K102, K102 - 0.85 * fc_prime)</f>
        <v>-275</v>
      </c>
      <c r="M102" s="2">
        <f t="shared" si="30"/>
        <v>-200</v>
      </c>
      <c r="N102" s="7">
        <f t="shared" si="31"/>
        <v>-345575.19189487724</v>
      </c>
      <c r="O102" s="7">
        <f t="shared" si="36"/>
        <v>69115038.378975451</v>
      </c>
      <c r="P102" s="7">
        <f t="shared" si="37"/>
        <v>361.82881416474817</v>
      </c>
      <c r="Q102" s="7">
        <f t="shared" si="32"/>
        <v>2904.7693949555892</v>
      </c>
    </row>
    <row r="103" spans="1:17" x14ac:dyDescent="0.25">
      <c r="A103" s="4">
        <f t="shared" si="33"/>
        <v>410.00099999999998</v>
      </c>
      <c r="B103" s="4">
        <f>b_1*A103</f>
        <v>348.50084999999996</v>
      </c>
      <c r="C103" s="4">
        <f t="shared" si="24"/>
        <v>2962257.2249999996</v>
      </c>
      <c r="D103" s="5">
        <f t="shared" si="25"/>
        <v>75.749575000000021</v>
      </c>
      <c r="E103" s="5">
        <f t="shared" si="34"/>
        <v>224389725.83442941</v>
      </c>
      <c r="F103" s="4">
        <f t="shared" si="26"/>
        <v>275</v>
      </c>
      <c r="G103" s="4">
        <f>IF(getSign(F103) &lt; 0, F103, F103 - 0.85 * fc_prime)</f>
        <v>258</v>
      </c>
      <c r="H103" s="2">
        <f t="shared" si="27"/>
        <v>200</v>
      </c>
      <c r="I103" s="7">
        <f t="shared" si="28"/>
        <v>324212.36185046664</v>
      </c>
      <c r="J103" s="7">
        <f t="shared" si="35"/>
        <v>64842472.370093331</v>
      </c>
      <c r="K103" s="7">
        <f t="shared" si="29"/>
        <v>-275</v>
      </c>
      <c r="L103" s="7">
        <f>IF(getSign(K103) &lt; 0, K103, K103 - 0.85 * fc_prime)</f>
        <v>-275</v>
      </c>
      <c r="M103" s="2">
        <f t="shared" si="30"/>
        <v>-200</v>
      </c>
      <c r="N103" s="7">
        <f t="shared" si="31"/>
        <v>-345575.19189487724</v>
      </c>
      <c r="O103" s="7">
        <f t="shared" si="36"/>
        <v>69115038.378975451</v>
      </c>
      <c r="P103" s="7">
        <f t="shared" si="37"/>
        <v>358.34723658349816</v>
      </c>
      <c r="Q103" s="7">
        <f t="shared" si="32"/>
        <v>2940.8943949555892</v>
      </c>
    </row>
    <row r="104" spans="1:17" x14ac:dyDescent="0.25">
      <c r="A104" s="4">
        <f t="shared" si="33"/>
        <v>415.00099999999998</v>
      </c>
      <c r="B104" s="4">
        <f>b_1*A104</f>
        <v>352.75084999999996</v>
      </c>
      <c r="C104" s="4">
        <f t="shared" si="24"/>
        <v>2998382.2249999996</v>
      </c>
      <c r="D104" s="5">
        <f t="shared" si="25"/>
        <v>73.624575000000021</v>
      </c>
      <c r="E104" s="5">
        <f t="shared" si="34"/>
        <v>220754617.0031794</v>
      </c>
      <c r="F104" s="4">
        <f t="shared" si="26"/>
        <v>275</v>
      </c>
      <c r="G104" s="4">
        <f>IF(getSign(F104) &lt; 0, F104, F104 - 0.85 * fc_prime)</f>
        <v>258</v>
      </c>
      <c r="H104" s="2">
        <f t="shared" si="27"/>
        <v>200</v>
      </c>
      <c r="I104" s="7">
        <f t="shared" si="28"/>
        <v>324212.36185046664</v>
      </c>
      <c r="J104" s="7">
        <f t="shared" si="35"/>
        <v>64842472.370093331</v>
      </c>
      <c r="K104" s="7">
        <f t="shared" si="29"/>
        <v>-275</v>
      </c>
      <c r="L104" s="7">
        <f>IF(getSign(K104) &lt; 0, K104, K104 - 0.85 * fc_prime)</f>
        <v>-275</v>
      </c>
      <c r="M104" s="2">
        <f t="shared" si="30"/>
        <v>-200</v>
      </c>
      <c r="N104" s="7">
        <f t="shared" si="31"/>
        <v>-345575.19189487724</v>
      </c>
      <c r="O104" s="7">
        <f t="shared" si="36"/>
        <v>69115038.378975451</v>
      </c>
      <c r="P104" s="7">
        <f t="shared" si="37"/>
        <v>354.71212775224819</v>
      </c>
      <c r="Q104" s="7">
        <f t="shared" si="32"/>
        <v>2977.0193949555892</v>
      </c>
    </row>
    <row r="105" spans="1:17" x14ac:dyDescent="0.25">
      <c r="A105" s="4">
        <f t="shared" si="33"/>
        <v>420.00099999999998</v>
      </c>
      <c r="B105" s="4">
        <f>b_1*A105</f>
        <v>357.00084999999996</v>
      </c>
      <c r="C105" s="4">
        <f t="shared" si="24"/>
        <v>3034507.2249999996</v>
      </c>
      <c r="D105" s="5">
        <f t="shared" si="25"/>
        <v>71.499575000000021</v>
      </c>
      <c r="E105" s="5">
        <f t="shared" si="34"/>
        <v>216965976.92192942</v>
      </c>
      <c r="F105" s="4">
        <f t="shared" si="26"/>
        <v>275</v>
      </c>
      <c r="G105" s="4">
        <f>IF(getSign(F105) &lt; 0, F105, F105 - 0.85 * fc_prime)</f>
        <v>258</v>
      </c>
      <c r="H105" s="2">
        <f t="shared" si="27"/>
        <v>200</v>
      </c>
      <c r="I105" s="7">
        <f t="shared" si="28"/>
        <v>324212.36185046664</v>
      </c>
      <c r="J105" s="7">
        <f t="shared" si="35"/>
        <v>64842472.370093331</v>
      </c>
      <c r="K105" s="7">
        <f t="shared" si="29"/>
        <v>-275</v>
      </c>
      <c r="L105" s="7">
        <f>IF(getSign(K105) &lt; 0, K105, K105 - 0.85 * fc_prime)</f>
        <v>-275</v>
      </c>
      <c r="M105" s="2">
        <f t="shared" si="30"/>
        <v>-200</v>
      </c>
      <c r="N105" s="7">
        <f t="shared" si="31"/>
        <v>-345575.19189487724</v>
      </c>
      <c r="O105" s="7">
        <f t="shared" si="36"/>
        <v>69115038.378975451</v>
      </c>
      <c r="P105" s="7">
        <f t="shared" si="37"/>
        <v>350.92348767099821</v>
      </c>
      <c r="Q105" s="7">
        <f t="shared" si="32"/>
        <v>3013.1443949555892</v>
      </c>
    </row>
    <row r="106" spans="1:17" x14ac:dyDescent="0.25">
      <c r="A106" s="4">
        <f t="shared" si="33"/>
        <v>425.00099999999998</v>
      </c>
      <c r="B106" s="4">
        <f>b_1*A106</f>
        <v>361.25084999999996</v>
      </c>
      <c r="C106" s="4">
        <f t="shared" si="24"/>
        <v>3070632.2249999996</v>
      </c>
      <c r="D106" s="5">
        <f t="shared" si="25"/>
        <v>69.374575000000021</v>
      </c>
      <c r="E106" s="5">
        <f t="shared" si="34"/>
        <v>213023805.59067941</v>
      </c>
      <c r="F106" s="4">
        <f t="shared" si="26"/>
        <v>275</v>
      </c>
      <c r="G106" s="4">
        <f>IF(getSign(F106) &lt; 0, F106, F106 - 0.85 * fc_prime)</f>
        <v>258</v>
      </c>
      <c r="H106" s="2">
        <f t="shared" si="27"/>
        <v>200</v>
      </c>
      <c r="I106" s="7">
        <f t="shared" si="28"/>
        <v>324212.36185046664</v>
      </c>
      <c r="J106" s="7">
        <f t="shared" si="35"/>
        <v>64842472.370093331</v>
      </c>
      <c r="K106" s="7">
        <f t="shared" si="29"/>
        <v>-275</v>
      </c>
      <c r="L106" s="7">
        <f>IF(getSign(K106) &lt; 0, K106, K106 - 0.85 * fc_prime)</f>
        <v>-275</v>
      </c>
      <c r="M106" s="2">
        <f t="shared" si="30"/>
        <v>-200</v>
      </c>
      <c r="N106" s="7">
        <f t="shared" si="31"/>
        <v>-345575.19189487724</v>
      </c>
      <c r="O106" s="7">
        <f t="shared" si="36"/>
        <v>69115038.378975451</v>
      </c>
      <c r="P106" s="7">
        <f t="shared" si="37"/>
        <v>346.98131633974822</v>
      </c>
      <c r="Q106" s="7">
        <f t="shared" si="32"/>
        <v>3049.2693949555892</v>
      </c>
    </row>
    <row r="107" spans="1:17" x14ac:dyDescent="0.25">
      <c r="A107" s="4">
        <f t="shared" si="33"/>
        <v>430.00099999999998</v>
      </c>
      <c r="B107" s="4">
        <f>b_1*A107</f>
        <v>365.50084999999996</v>
      </c>
      <c r="C107" s="4">
        <f t="shared" si="24"/>
        <v>3106757.2249999996</v>
      </c>
      <c r="D107" s="5">
        <f t="shared" si="25"/>
        <v>67.249575000000021</v>
      </c>
      <c r="E107" s="5">
        <f t="shared" si="34"/>
        <v>208928103.00942943</v>
      </c>
      <c r="F107" s="4">
        <f t="shared" si="26"/>
        <v>275</v>
      </c>
      <c r="G107" s="4">
        <f>IF(getSign(F107) &lt; 0, F107, F107 - 0.85 * fc_prime)</f>
        <v>258</v>
      </c>
      <c r="H107" s="2">
        <f t="shared" si="27"/>
        <v>200</v>
      </c>
      <c r="I107" s="7">
        <f t="shared" si="28"/>
        <v>324212.36185046664</v>
      </c>
      <c r="J107" s="7">
        <f t="shared" si="35"/>
        <v>64842472.370093331</v>
      </c>
      <c r="K107" s="7">
        <f t="shared" si="29"/>
        <v>-275</v>
      </c>
      <c r="L107" s="7">
        <f>IF(getSign(K107) &lt; 0, K107, K107 - 0.85 * fc_prime)</f>
        <v>-275</v>
      </c>
      <c r="M107" s="2">
        <f t="shared" si="30"/>
        <v>-200</v>
      </c>
      <c r="N107" s="7">
        <f t="shared" si="31"/>
        <v>-345575.19189487724</v>
      </c>
      <c r="O107" s="7">
        <f t="shared" si="36"/>
        <v>69115038.378975451</v>
      </c>
      <c r="P107" s="7">
        <f t="shared" si="37"/>
        <v>342.88561375849821</v>
      </c>
      <c r="Q107" s="7">
        <f t="shared" si="32"/>
        <v>3085.3943949555892</v>
      </c>
    </row>
    <row r="108" spans="1:17" x14ac:dyDescent="0.25">
      <c r="A108" s="4">
        <f t="shared" si="33"/>
        <v>435.00099999999998</v>
      </c>
      <c r="B108" s="4">
        <f>b_1*A108</f>
        <v>369.75084999999996</v>
      </c>
      <c r="C108" s="4">
        <f t="shared" si="24"/>
        <v>3142882.2249999996</v>
      </c>
      <c r="D108" s="5">
        <f t="shared" si="25"/>
        <v>65.124575000000021</v>
      </c>
      <c r="E108" s="5">
        <f t="shared" si="34"/>
        <v>204678869.17817941</v>
      </c>
      <c r="F108" s="4">
        <f t="shared" si="26"/>
        <v>275</v>
      </c>
      <c r="G108" s="4">
        <f>IF(getSign(F108) &lt; 0, F108, F108 - 0.85 * fc_prime)</f>
        <v>258</v>
      </c>
      <c r="H108" s="2">
        <f t="shared" si="27"/>
        <v>200</v>
      </c>
      <c r="I108" s="7">
        <f t="shared" si="28"/>
        <v>324212.36185046664</v>
      </c>
      <c r="J108" s="7">
        <f t="shared" si="35"/>
        <v>64842472.370093331</v>
      </c>
      <c r="K108" s="7">
        <f t="shared" si="29"/>
        <v>-275</v>
      </c>
      <c r="L108" s="7">
        <f>IF(getSign(K108) &lt; 0, K108, K108 - 0.85 * fc_prime)</f>
        <v>-275</v>
      </c>
      <c r="M108" s="2">
        <f t="shared" si="30"/>
        <v>-200</v>
      </c>
      <c r="N108" s="7">
        <f t="shared" si="31"/>
        <v>-345575.19189487724</v>
      </c>
      <c r="O108" s="7">
        <f t="shared" si="36"/>
        <v>69115038.378975451</v>
      </c>
      <c r="P108" s="7">
        <f t="shared" si="37"/>
        <v>338.63637992724819</v>
      </c>
      <c r="Q108" s="7">
        <f t="shared" si="32"/>
        <v>3121.5193949555892</v>
      </c>
    </row>
    <row r="109" spans="1:17" x14ac:dyDescent="0.25">
      <c r="A109" s="4">
        <f t="shared" si="33"/>
        <v>440.00099999999998</v>
      </c>
      <c r="B109" s="4">
        <f>b_1*A109</f>
        <v>374.00084999999996</v>
      </c>
      <c r="C109" s="4">
        <f t="shared" si="24"/>
        <v>3179007.2249999996</v>
      </c>
      <c r="D109" s="5">
        <f t="shared" si="25"/>
        <v>62.999575000000021</v>
      </c>
      <c r="E109" s="5">
        <f t="shared" si="34"/>
        <v>200276104.09692943</v>
      </c>
      <c r="F109" s="4">
        <f t="shared" si="26"/>
        <v>275</v>
      </c>
      <c r="G109" s="4">
        <f>IF(getSign(F109) &lt; 0, F109, F109 - 0.85 * fc_prime)</f>
        <v>258</v>
      </c>
      <c r="H109" s="2">
        <f t="shared" si="27"/>
        <v>200</v>
      </c>
      <c r="I109" s="7">
        <f t="shared" si="28"/>
        <v>324212.36185046664</v>
      </c>
      <c r="J109" s="7">
        <f t="shared" si="35"/>
        <v>64842472.370093331</v>
      </c>
      <c r="K109" s="7">
        <f t="shared" si="29"/>
        <v>-275</v>
      </c>
      <c r="L109" s="7">
        <f>IF(getSign(K109) &lt; 0, K109, K109 - 0.85 * fc_prime)</f>
        <v>-275</v>
      </c>
      <c r="M109" s="2">
        <f t="shared" si="30"/>
        <v>-200</v>
      </c>
      <c r="N109" s="7">
        <f t="shared" si="31"/>
        <v>-345575.19189487724</v>
      </c>
      <c r="O109" s="7">
        <f t="shared" si="36"/>
        <v>69115038.378975451</v>
      </c>
      <c r="P109" s="7">
        <f t="shared" si="37"/>
        <v>334.2336148459982</v>
      </c>
      <c r="Q109" s="7">
        <f t="shared" si="32"/>
        <v>3157.6443949555892</v>
      </c>
    </row>
    <row r="110" spans="1:17" x14ac:dyDescent="0.25">
      <c r="A110" s="4">
        <f t="shared" si="33"/>
        <v>445.00099999999998</v>
      </c>
      <c r="B110" s="4">
        <f>b_1*A110</f>
        <v>378.25084999999996</v>
      </c>
      <c r="C110" s="4">
        <f t="shared" si="24"/>
        <v>3215132.2249999996</v>
      </c>
      <c r="D110" s="5">
        <f t="shared" si="25"/>
        <v>60.874575000000021</v>
      </c>
      <c r="E110" s="5">
        <f t="shared" si="34"/>
        <v>195719807.76567942</v>
      </c>
      <c r="F110" s="4">
        <f t="shared" si="26"/>
        <v>275</v>
      </c>
      <c r="G110" s="4">
        <f>IF(getSign(F110) &lt; 0, F110, F110 - 0.85 * fc_prime)</f>
        <v>258</v>
      </c>
      <c r="H110" s="2">
        <f t="shared" si="27"/>
        <v>200</v>
      </c>
      <c r="I110" s="7">
        <f t="shared" si="28"/>
        <v>324212.36185046664</v>
      </c>
      <c r="J110" s="7">
        <f t="shared" si="35"/>
        <v>64842472.370093331</v>
      </c>
      <c r="K110" s="7">
        <f t="shared" si="29"/>
        <v>-275</v>
      </c>
      <c r="L110" s="7">
        <f>IF(getSign(K110) &lt; 0, K110, K110 - 0.85 * fc_prime)</f>
        <v>-275</v>
      </c>
      <c r="M110" s="2">
        <f t="shared" si="30"/>
        <v>-200</v>
      </c>
      <c r="N110" s="7">
        <f t="shared" si="31"/>
        <v>-345575.19189487724</v>
      </c>
      <c r="O110" s="7">
        <f t="shared" si="36"/>
        <v>69115038.378975451</v>
      </c>
      <c r="P110" s="7">
        <f t="shared" si="37"/>
        <v>329.67731851474821</v>
      </c>
      <c r="Q110" s="7">
        <f t="shared" si="32"/>
        <v>3193.7693949555892</v>
      </c>
    </row>
    <row r="111" spans="1:17" x14ac:dyDescent="0.25">
      <c r="A111" s="4">
        <f t="shared" si="33"/>
        <v>450.00099999999998</v>
      </c>
      <c r="B111" s="4">
        <f>b_1*A111</f>
        <v>382.50084999999996</v>
      </c>
      <c r="C111" s="4">
        <f t="shared" si="24"/>
        <v>3251257.2249999996</v>
      </c>
      <c r="D111" s="5">
        <f t="shared" si="25"/>
        <v>58.749575000000021</v>
      </c>
      <c r="E111" s="5">
        <f t="shared" si="34"/>
        <v>191009980.18442944</v>
      </c>
      <c r="F111" s="4">
        <f t="shared" si="26"/>
        <v>275</v>
      </c>
      <c r="G111" s="4">
        <f>IF(getSign(F111) &lt; 0, F111, F111 - 0.85 * fc_prime)</f>
        <v>258</v>
      </c>
      <c r="H111" s="2">
        <f t="shared" si="27"/>
        <v>200</v>
      </c>
      <c r="I111" s="7">
        <f t="shared" si="28"/>
        <v>324212.36185046664</v>
      </c>
      <c r="J111" s="7">
        <f t="shared" si="35"/>
        <v>64842472.370093331</v>
      </c>
      <c r="K111" s="7">
        <f t="shared" si="29"/>
        <v>1.3333303703454257E-3</v>
      </c>
      <c r="L111" s="7">
        <f>IF(getSign(K111) &lt; 0, K111, K111 - 0.85 * fc_prime)</f>
        <v>-16.998666669629653</v>
      </c>
      <c r="M111" s="2">
        <f t="shared" si="30"/>
        <v>-200</v>
      </c>
      <c r="N111" s="7">
        <f t="shared" si="31"/>
        <v>-21361.154532052078</v>
      </c>
      <c r="O111" s="7">
        <f t="shared" si="36"/>
        <v>4272230.9064104157</v>
      </c>
      <c r="P111" s="7">
        <f t="shared" si="37"/>
        <v>260.12468346093317</v>
      </c>
      <c r="Q111" s="7">
        <f t="shared" si="32"/>
        <v>3554.1084323184141</v>
      </c>
    </row>
    <row r="112" spans="1:17" x14ac:dyDescent="0.25">
      <c r="A112" s="4">
        <f t="shared" si="33"/>
        <v>455.00099999999998</v>
      </c>
      <c r="B112" s="4">
        <f>b_1*A112</f>
        <v>386.75084999999996</v>
      </c>
      <c r="C112" s="4">
        <f t="shared" si="24"/>
        <v>3287382.2249999996</v>
      </c>
      <c r="D112" s="5">
        <f t="shared" si="25"/>
        <v>56.624575000000021</v>
      </c>
      <c r="E112" s="5">
        <f t="shared" si="34"/>
        <v>186146621.35317943</v>
      </c>
      <c r="F112" s="4">
        <f t="shared" si="26"/>
        <v>275</v>
      </c>
      <c r="G112" s="4">
        <f>IF(getSign(F112) &lt; 0, F112, F112 - 0.85 * fc_prime)</f>
        <v>258</v>
      </c>
      <c r="H112" s="2">
        <f t="shared" si="27"/>
        <v>200</v>
      </c>
      <c r="I112" s="7">
        <f t="shared" si="28"/>
        <v>324212.36185046664</v>
      </c>
      <c r="J112" s="7">
        <f t="shared" si="35"/>
        <v>64842472.370093331</v>
      </c>
      <c r="K112" s="7">
        <f t="shared" si="29"/>
        <v>6.5947107808553955</v>
      </c>
      <c r="L112" s="7">
        <f>IF(getSign(K112) &lt; 0, K112, K112 - 0.85 * fc_prime)</f>
        <v>-10.405289219144604</v>
      </c>
      <c r="M112" s="2">
        <f t="shared" si="30"/>
        <v>-200</v>
      </c>
      <c r="N112" s="7">
        <f t="shared" si="31"/>
        <v>-13075.672067736707</v>
      </c>
      <c r="O112" s="7">
        <f t="shared" si="36"/>
        <v>2615134.4135473412</v>
      </c>
      <c r="P112" s="7">
        <f t="shared" si="37"/>
        <v>253.60422813682007</v>
      </c>
      <c r="Q112" s="7">
        <f t="shared" si="32"/>
        <v>3598.5189147827296</v>
      </c>
    </row>
    <row r="113" spans="1:17" x14ac:dyDescent="0.25">
      <c r="A113" s="4">
        <f t="shared" si="33"/>
        <v>460.00099999999998</v>
      </c>
      <c r="B113" s="4">
        <f>b_1*A113</f>
        <v>391.00084999999996</v>
      </c>
      <c r="C113" s="4">
        <f t="shared" si="24"/>
        <v>3323507.2249999996</v>
      </c>
      <c r="D113" s="5">
        <f t="shared" si="25"/>
        <v>54.499575000000021</v>
      </c>
      <c r="E113" s="5">
        <f t="shared" si="34"/>
        <v>181129731.27192941</v>
      </c>
      <c r="F113" s="4">
        <f t="shared" si="26"/>
        <v>275</v>
      </c>
      <c r="G113" s="4">
        <f>IF(getSign(F113) &lt; 0, F113, F113 - 0.85 * fc_prime)</f>
        <v>258</v>
      </c>
      <c r="H113" s="2">
        <f t="shared" si="27"/>
        <v>200</v>
      </c>
      <c r="I113" s="7">
        <f t="shared" si="28"/>
        <v>324212.36185046664</v>
      </c>
      <c r="J113" s="7">
        <f t="shared" si="35"/>
        <v>64842472.370093331</v>
      </c>
      <c r="K113" s="7">
        <f t="shared" si="29"/>
        <v>13.044754250534208</v>
      </c>
      <c r="L113" s="7">
        <f>IF(getSign(K113) &lt; 0, K113, K113 - 0.85 * fc_prime)</f>
        <v>-3.9552457494657922</v>
      </c>
      <c r="M113" s="2">
        <f t="shared" si="30"/>
        <v>-200</v>
      </c>
      <c r="N113" s="7">
        <f t="shared" si="31"/>
        <v>-4970.3083958655952</v>
      </c>
      <c r="O113" s="7">
        <f t="shared" si="36"/>
        <v>994061.67917311902</v>
      </c>
      <c r="P113" s="7">
        <f t="shared" si="37"/>
        <v>246.96626532119583</v>
      </c>
      <c r="Q113" s="7">
        <f t="shared" si="32"/>
        <v>3642.7492784546007</v>
      </c>
    </row>
    <row r="114" spans="1:17" x14ac:dyDescent="0.25">
      <c r="A114" s="4">
        <f t="shared" si="33"/>
        <v>465.00099999999998</v>
      </c>
      <c r="B114" s="4">
        <f>b_1*A114</f>
        <v>395.25084999999996</v>
      </c>
      <c r="C114" s="4">
        <f t="shared" si="24"/>
        <v>3359632.2249999996</v>
      </c>
      <c r="D114" s="5">
        <f t="shared" si="25"/>
        <v>52.374575000000021</v>
      </c>
      <c r="E114" s="5">
        <f t="shared" si="34"/>
        <v>175959309.94067943</v>
      </c>
      <c r="F114" s="4">
        <f t="shared" si="26"/>
        <v>275</v>
      </c>
      <c r="G114" s="4">
        <f>IF(getSign(F114) &lt; 0, F114, F114 - 0.85 * fc_prime)</f>
        <v>258</v>
      </c>
      <c r="H114" s="2">
        <f t="shared" si="27"/>
        <v>200</v>
      </c>
      <c r="I114" s="7">
        <f t="shared" si="28"/>
        <v>324212.36185046664</v>
      </c>
      <c r="J114" s="7">
        <f t="shared" si="35"/>
        <v>64842472.370093331</v>
      </c>
      <c r="K114" s="7">
        <f t="shared" si="29"/>
        <v>19.356087406263612</v>
      </c>
      <c r="L114" s="7">
        <f>IF(getSign(K114) &lt; 0, K114, K114 - 0.85 * fc_prime)</f>
        <v>2.3560874062636117</v>
      </c>
      <c r="M114" s="2">
        <f t="shared" si="30"/>
        <v>-200</v>
      </c>
      <c r="N114" s="7">
        <f t="shared" si="31"/>
        <v>2960.7467546932771</v>
      </c>
      <c r="O114" s="7">
        <f t="shared" si="36"/>
        <v>-592149.35093865544</v>
      </c>
      <c r="P114" s="7">
        <f t="shared" si="37"/>
        <v>240.20963295983412</v>
      </c>
      <c r="Q114" s="7">
        <f t="shared" si="32"/>
        <v>3686.8053336051594</v>
      </c>
    </row>
    <row r="115" spans="1:17" x14ac:dyDescent="0.25">
      <c r="A115" s="4">
        <f t="shared" si="33"/>
        <v>470.00099999999998</v>
      </c>
      <c r="B115" s="4">
        <f>b_1*A115</f>
        <v>399.50084999999996</v>
      </c>
      <c r="C115" s="4">
        <f t="shared" si="24"/>
        <v>3395757.2249999996</v>
      </c>
      <c r="D115" s="5">
        <f t="shared" si="25"/>
        <v>50.249575000000021</v>
      </c>
      <c r="E115" s="5">
        <f t="shared" si="34"/>
        <v>170635357.35942942</v>
      </c>
      <c r="F115" s="4">
        <f t="shared" si="26"/>
        <v>275</v>
      </c>
      <c r="G115" s="4">
        <f>IF(getSign(F115) &lt; 0, F115, F115 - 0.85 * fc_prime)</f>
        <v>258</v>
      </c>
      <c r="H115" s="2">
        <f t="shared" si="27"/>
        <v>200</v>
      </c>
      <c r="I115" s="7">
        <f t="shared" si="28"/>
        <v>324212.36185046664</v>
      </c>
      <c r="J115" s="7">
        <f t="shared" si="35"/>
        <v>64842472.370093331</v>
      </c>
      <c r="K115" s="7">
        <f t="shared" si="29"/>
        <v>25.533137163537923</v>
      </c>
      <c r="L115" s="7">
        <f>IF(getSign(K115) &lt; 0, K115, K115 - 0.85 * fc_prime)</f>
        <v>8.5331371635379227</v>
      </c>
      <c r="M115" s="2">
        <f t="shared" si="30"/>
        <v>-200</v>
      </c>
      <c r="N115" s="7">
        <f t="shared" si="31"/>
        <v>10723.056410017914</v>
      </c>
      <c r="O115" s="7">
        <f t="shared" si="36"/>
        <v>-2144611.2820035829</v>
      </c>
      <c r="P115" s="7">
        <f t="shared" si="37"/>
        <v>233.33321844751919</v>
      </c>
      <c r="Q115" s="7">
        <f t="shared" si="32"/>
        <v>3730.6926432604841</v>
      </c>
    </row>
    <row r="116" spans="1:17" x14ac:dyDescent="0.25">
      <c r="A116" s="4">
        <f t="shared" si="33"/>
        <v>475.00099999999998</v>
      </c>
      <c r="B116" s="4">
        <f>b_1*A116</f>
        <v>403.75084999999996</v>
      </c>
      <c r="C116" s="4">
        <f t="shared" si="24"/>
        <v>3431882.2249999996</v>
      </c>
      <c r="D116" s="5">
        <f t="shared" si="25"/>
        <v>48.124575000000021</v>
      </c>
      <c r="E116" s="5">
        <f t="shared" si="34"/>
        <v>165157873.52817944</v>
      </c>
      <c r="F116" s="4">
        <f t="shared" si="26"/>
        <v>275</v>
      </c>
      <c r="G116" s="4">
        <f>IF(getSign(F116) &lt; 0, F116, F116 - 0.85 * fc_prime)</f>
        <v>258</v>
      </c>
      <c r="H116" s="2">
        <f t="shared" si="27"/>
        <v>200</v>
      </c>
      <c r="I116" s="7">
        <f t="shared" si="28"/>
        <v>324212.36185046664</v>
      </c>
      <c r="J116" s="7">
        <f t="shared" si="35"/>
        <v>64842472.370093331</v>
      </c>
      <c r="K116" s="7">
        <f t="shared" si="29"/>
        <v>31.58014404180199</v>
      </c>
      <c r="L116" s="7">
        <f>IF(getSign(K116) &lt; 0, K116, K116 - 0.85 * fc_prime)</f>
        <v>14.58014404180199</v>
      </c>
      <c r="M116" s="2">
        <f t="shared" si="30"/>
        <v>-200</v>
      </c>
      <c r="N116" s="7">
        <f t="shared" si="31"/>
        <v>18321.949364002452</v>
      </c>
      <c r="O116" s="7">
        <f t="shared" si="36"/>
        <v>-3664389.8728004904</v>
      </c>
      <c r="P116" s="7">
        <f t="shared" si="37"/>
        <v>226.33595602547226</v>
      </c>
      <c r="Q116" s="7">
        <f t="shared" si="32"/>
        <v>3774.4165362144686</v>
      </c>
    </row>
    <row r="117" spans="1:17" x14ac:dyDescent="0.25">
      <c r="A117" s="4">
        <f t="shared" si="33"/>
        <v>480.00099999999998</v>
      </c>
      <c r="B117" s="4">
        <f>b_1*A117</f>
        <v>408.00084999999996</v>
      </c>
      <c r="C117" s="4">
        <f t="shared" ref="C117:C141" si="38">0.85 * fc_prime * B117 * b</f>
        <v>3468007.2249999996</v>
      </c>
      <c r="D117" s="5">
        <f t="shared" ref="D117:D137" si="39">ABS(h / 2) - (B117 / 2)</f>
        <v>45.999575000000021</v>
      </c>
      <c r="E117" s="5">
        <f t="shared" si="34"/>
        <v>159526858.44692943</v>
      </c>
      <c r="F117" s="4">
        <f t="shared" ref="F117:F137" si="40">getFs(d_1, A117, fy)</f>
        <v>275</v>
      </c>
      <c r="G117" s="4">
        <f>IF(getSign(F117) &lt; 0, F117, F117 - 0.85 * fc_prime)</f>
        <v>258</v>
      </c>
      <c r="H117" s="2">
        <f t="shared" ref="H117:H141" si="41">ABS(h / 2) - d_1</f>
        <v>200</v>
      </c>
      <c r="I117" s="7">
        <f t="shared" ref="I117:I137" si="42">G117 * As_1</f>
        <v>324212.36185046664</v>
      </c>
      <c r="J117" s="7">
        <f t="shared" si="35"/>
        <v>64842472.370093331</v>
      </c>
      <c r="K117" s="7">
        <f t="shared" ref="K117:K137" si="43">getFs(d_2, A117, fy)</f>
        <v>37.501171872558572</v>
      </c>
      <c r="L117" s="7">
        <f>IF(getSign(K117) &lt; 0, K117, K117 - 0.85 * fc_prime)</f>
        <v>20.501171872558572</v>
      </c>
      <c r="M117" s="2">
        <f t="shared" ref="M117:M141" si="44">ABS(h / 2) - d_2</f>
        <v>-200</v>
      </c>
      <c r="N117" s="7">
        <f t="shared" ref="N117:N137" si="45">As_2 * L117</f>
        <v>25762.532377924686</v>
      </c>
      <c r="O117" s="7">
        <f t="shared" si="36"/>
        <v>-5152506.4755849373</v>
      </c>
      <c r="P117" s="7">
        <f t="shared" si="37"/>
        <v>219.21682434143781</v>
      </c>
      <c r="Q117" s="7">
        <f t="shared" si="32"/>
        <v>3817.9821192283912</v>
      </c>
    </row>
    <row r="118" spans="1:17" x14ac:dyDescent="0.25">
      <c r="A118" s="4">
        <f t="shared" ref="A118:A137" si="46">A117 + increment</f>
        <v>485.00099999999998</v>
      </c>
      <c r="B118" s="4">
        <f>b_1*A118</f>
        <v>412.25084999999996</v>
      </c>
      <c r="C118" s="4">
        <f t="shared" si="38"/>
        <v>3504132.2249999996</v>
      </c>
      <c r="D118" s="5">
        <f t="shared" si="39"/>
        <v>43.874575000000021</v>
      </c>
      <c r="E118" s="5">
        <f t="shared" si="34"/>
        <v>153742312.11567944</v>
      </c>
      <c r="F118" s="4">
        <f t="shared" si="40"/>
        <v>275</v>
      </c>
      <c r="G118" s="4">
        <f>IF(getSign(F118) &lt; 0, F118, F118 - 0.85 * fc_prime)</f>
        <v>258</v>
      </c>
      <c r="H118" s="2">
        <f t="shared" si="41"/>
        <v>200</v>
      </c>
      <c r="I118" s="7">
        <f t="shared" si="42"/>
        <v>324212.36185046664</v>
      </c>
      <c r="J118" s="7">
        <f t="shared" si="35"/>
        <v>64842472.370093331</v>
      </c>
      <c r="K118" s="7">
        <f t="shared" si="43"/>
        <v>43.300116906975425</v>
      </c>
      <c r="L118" s="7">
        <f>IF(getSign(K118) &lt; 0, K118, K118 - 0.85 * fc_prime)</f>
        <v>26.300116906975425</v>
      </c>
      <c r="M118" s="2">
        <f t="shared" si="44"/>
        <v>-200</v>
      </c>
      <c r="N118" s="7">
        <f t="shared" si="45"/>
        <v>33049.701625402682</v>
      </c>
      <c r="O118" s="7">
        <f t="shared" si="36"/>
        <v>-6609940.3250805363</v>
      </c>
      <c r="P118" s="7">
        <f t="shared" si="37"/>
        <v>211.97484416069224</v>
      </c>
      <c r="Q118" s="7">
        <f t="shared" si="32"/>
        <v>3861.394288475869</v>
      </c>
    </row>
    <row r="119" spans="1:17" x14ac:dyDescent="0.25">
      <c r="A119" s="4">
        <f t="shared" si="46"/>
        <v>490.00099999999998</v>
      </c>
      <c r="B119" s="4">
        <f>b_1*A119</f>
        <v>416.50084999999996</v>
      </c>
      <c r="C119" s="4">
        <f t="shared" si="38"/>
        <v>3540257.2249999996</v>
      </c>
      <c r="D119" s="5">
        <f t="shared" si="39"/>
        <v>41.749575000000021</v>
      </c>
      <c r="E119" s="5">
        <f t="shared" si="34"/>
        <v>147804234.53442943</v>
      </c>
      <c r="F119" s="4">
        <f t="shared" si="40"/>
        <v>275</v>
      </c>
      <c r="G119" s="4">
        <f>IF(getSign(F119) &lt; 0, F119, F119 - 0.85 * fc_prime)</f>
        <v>258</v>
      </c>
      <c r="H119" s="2">
        <f t="shared" si="41"/>
        <v>200</v>
      </c>
      <c r="I119" s="7">
        <f t="shared" si="42"/>
        <v>324212.36185046664</v>
      </c>
      <c r="J119" s="7">
        <f t="shared" si="35"/>
        <v>64842472.370093331</v>
      </c>
      <c r="K119" s="7">
        <f t="shared" si="43"/>
        <v>48.980716365884938</v>
      </c>
      <c r="L119" s="7">
        <f>IF(getSign(K119) &lt; 0, K119, K119 - 0.85 * fc_prime)</f>
        <v>31.980716365884938</v>
      </c>
      <c r="M119" s="2">
        <f t="shared" si="44"/>
        <v>-200</v>
      </c>
      <c r="N119" s="7">
        <f t="shared" si="45"/>
        <v>40188.153436641194</v>
      </c>
      <c r="O119" s="7">
        <f t="shared" si="36"/>
        <v>-8037630.687328239</v>
      </c>
      <c r="P119" s="7">
        <f t="shared" si="37"/>
        <v>204.60907621719454</v>
      </c>
      <c r="Q119" s="7">
        <f t="shared" si="32"/>
        <v>3904.6577402871076</v>
      </c>
    </row>
    <row r="120" spans="1:17" x14ac:dyDescent="0.25">
      <c r="A120" s="4">
        <f t="shared" si="46"/>
        <v>495.00099999999998</v>
      </c>
      <c r="B120" s="4">
        <f>b_1*A120</f>
        <v>420.75084999999996</v>
      </c>
      <c r="C120" s="4">
        <f t="shared" si="38"/>
        <v>3576382.2249999996</v>
      </c>
      <c r="D120" s="5">
        <f t="shared" si="39"/>
        <v>39.624575000000021</v>
      </c>
      <c r="E120" s="5">
        <f t="shared" si="34"/>
        <v>141712625.70317945</v>
      </c>
      <c r="F120" s="4">
        <f t="shared" si="40"/>
        <v>275</v>
      </c>
      <c r="G120" s="4">
        <f>IF(getSign(F120) &lt; 0, F120, F120 - 0.85 * fc_prime)</f>
        <v>258</v>
      </c>
      <c r="H120" s="2">
        <f t="shared" si="41"/>
        <v>200</v>
      </c>
      <c r="I120" s="7">
        <f t="shared" si="42"/>
        <v>324212.36185046664</v>
      </c>
      <c r="J120" s="7">
        <f t="shared" si="35"/>
        <v>64842472.370093331</v>
      </c>
      <c r="K120" s="7">
        <f t="shared" si="43"/>
        <v>54.546556471603061</v>
      </c>
      <c r="L120" s="7">
        <f>IF(getSign(K120) &lt; 0, K120, K120 - 0.85 * fc_prime)</f>
        <v>37.546556471603061</v>
      </c>
      <c r="M120" s="2">
        <f t="shared" si="44"/>
        <v>-200</v>
      </c>
      <c r="N120" s="7">
        <f t="shared" si="45"/>
        <v>47182.394391512993</v>
      </c>
      <c r="O120" s="7">
        <f t="shared" si="36"/>
        <v>-9436478.8783025984</v>
      </c>
      <c r="P120" s="7">
        <f t="shared" si="37"/>
        <v>197.11861919497017</v>
      </c>
      <c r="Q120" s="7">
        <f t="shared" si="32"/>
        <v>3947.7769812419792</v>
      </c>
    </row>
    <row r="121" spans="1:17" x14ac:dyDescent="0.25">
      <c r="A121" s="4">
        <f t="shared" si="46"/>
        <v>500.00099999999998</v>
      </c>
      <c r="B121" s="4">
        <f>b_1*A121</f>
        <v>425.00084999999996</v>
      </c>
      <c r="C121" s="4">
        <f t="shared" si="38"/>
        <v>3612507.2249999996</v>
      </c>
      <c r="D121" s="5">
        <f t="shared" si="39"/>
        <v>37.499575000000021</v>
      </c>
      <c r="E121" s="5">
        <f t="shared" ref="E121:E127" si="47">C121 * D121</f>
        <v>135467485.62192944</v>
      </c>
      <c r="F121" s="4">
        <f t="shared" si="40"/>
        <v>275</v>
      </c>
      <c r="G121" s="4">
        <f>IF(getSign(F121) &lt; 0, F121, F121 - 0.85 * fc_prime)</f>
        <v>258</v>
      </c>
      <c r="H121" s="2">
        <f t="shared" si="41"/>
        <v>200</v>
      </c>
      <c r="I121" s="7">
        <f t="shared" si="42"/>
        <v>324212.36185046664</v>
      </c>
      <c r="J121" s="7">
        <f t="shared" si="35"/>
        <v>64842472.370093331</v>
      </c>
      <c r="K121" s="7">
        <f t="shared" si="43"/>
        <v>60.00107999783998</v>
      </c>
      <c r="L121" s="7">
        <f>IF(getSign(K121) &lt; 0, K121, K121 - 0.85 * fc_prime)</f>
        <v>43.00107999783998</v>
      </c>
      <c r="M121" s="2">
        <f t="shared" si="44"/>
        <v>-200</v>
      </c>
      <c r="N121" s="7">
        <f t="shared" si="45"/>
        <v>54036.750807056436</v>
      </c>
      <c r="O121" s="7">
        <f t="shared" si="36"/>
        <v>-10807350.161411287</v>
      </c>
      <c r="P121" s="7">
        <f t="shared" ref="P121:P127" si="48">SUM(E121, J121, O121) / (1000 ^ 2)</f>
        <v>189.50260783061148</v>
      </c>
      <c r="Q121" s="7">
        <f t="shared" ref="Q121:Q127" si="49">SUM(C121, I121, N121) / 1000</f>
        <v>3990.7563376575226</v>
      </c>
    </row>
    <row r="122" spans="1:17" x14ac:dyDescent="0.25">
      <c r="A122" s="4">
        <f t="shared" si="46"/>
        <v>505.00099999999998</v>
      </c>
      <c r="B122" s="4">
        <f>b_1*A122</f>
        <v>429.25084999999996</v>
      </c>
      <c r="C122" s="4">
        <f t="shared" si="38"/>
        <v>3648632.2249999996</v>
      </c>
      <c r="D122" s="5">
        <f t="shared" si="39"/>
        <v>35.374575000000021</v>
      </c>
      <c r="E122" s="5">
        <f t="shared" si="47"/>
        <v>129068814.29067944</v>
      </c>
      <c r="F122" s="4">
        <f t="shared" si="40"/>
        <v>275</v>
      </c>
      <c r="G122" s="4">
        <f>IF(getSign(F122) &lt; 0, F122, F122 - 0.85 * fc_prime)</f>
        <v>258</v>
      </c>
      <c r="H122" s="2">
        <f t="shared" si="41"/>
        <v>200</v>
      </c>
      <c r="I122" s="7">
        <f t="shared" si="42"/>
        <v>324212.36185046664</v>
      </c>
      <c r="J122" s="7">
        <f t="shared" si="35"/>
        <v>64842472.370093331</v>
      </c>
      <c r="K122" s="7">
        <f t="shared" si="43"/>
        <v>65.347593371102207</v>
      </c>
      <c r="L122" s="7">
        <f>IF(getSign(K122) &lt; 0, K122, K122 - 0.85 * fc_prime)</f>
        <v>48.347593371102207</v>
      </c>
      <c r="M122" s="2">
        <f t="shared" si="44"/>
        <v>-200</v>
      </c>
      <c r="N122" s="7">
        <f t="shared" si="45"/>
        <v>60755.377661360515</v>
      </c>
      <c r="O122" s="7">
        <f t="shared" si="36"/>
        <v>-12151075.532272102</v>
      </c>
      <c r="P122" s="7">
        <f t="shared" si="48"/>
        <v>181.76021112850066</v>
      </c>
      <c r="Q122" s="7">
        <f t="shared" si="49"/>
        <v>4033.5999645118268</v>
      </c>
    </row>
    <row r="123" spans="1:17" x14ac:dyDescent="0.25">
      <c r="A123" s="4">
        <f t="shared" si="46"/>
        <v>510.00099999999998</v>
      </c>
      <c r="B123" s="4">
        <f>b_1*A123</f>
        <v>433.50084999999996</v>
      </c>
      <c r="C123" s="4">
        <f t="shared" si="38"/>
        <v>3684757.2249999996</v>
      </c>
      <c r="D123" s="5">
        <f t="shared" si="39"/>
        <v>33.249575000000021</v>
      </c>
      <c r="E123" s="5">
        <f t="shared" si="47"/>
        <v>122516611.70942944</v>
      </c>
      <c r="F123" s="4">
        <f t="shared" si="40"/>
        <v>275</v>
      </c>
      <c r="G123" s="4">
        <f>IF(getSign(F123) &lt; 0, F123, F123 - 0.85 * fc_prime)</f>
        <v>258</v>
      </c>
      <c r="H123" s="2">
        <f t="shared" si="41"/>
        <v>200</v>
      </c>
      <c r="I123" s="7">
        <f t="shared" si="42"/>
        <v>324212.36185046664</v>
      </c>
      <c r="J123" s="7">
        <f t="shared" si="35"/>
        <v>64842472.370093331</v>
      </c>
      <c r="K123" s="7">
        <f t="shared" si="43"/>
        <v>70.589273354365943</v>
      </c>
      <c r="L123" s="7">
        <f>IF(getSign(K123) &lt; 0, K123, K123 - 0.85 * fc_prime)</f>
        <v>53.589273354365943</v>
      </c>
      <c r="M123" s="2">
        <f t="shared" si="44"/>
        <v>-200</v>
      </c>
      <c r="N123" s="7">
        <f t="shared" si="45"/>
        <v>67342.266992516525</v>
      </c>
      <c r="O123" s="7">
        <f t="shared" si="36"/>
        <v>-13468453.398503305</v>
      </c>
      <c r="P123" s="7">
        <f t="shared" si="48"/>
        <v>173.89063068101947</v>
      </c>
      <c r="Q123" s="7">
        <f t="shared" si="49"/>
        <v>4076.3118538429826</v>
      </c>
    </row>
    <row r="124" spans="1:17" x14ac:dyDescent="0.25">
      <c r="A124" s="4">
        <f t="shared" si="46"/>
        <v>515.00099999999998</v>
      </c>
      <c r="B124" s="4">
        <f>b_1*A124</f>
        <v>437.75084999999996</v>
      </c>
      <c r="C124" s="4">
        <f t="shared" si="38"/>
        <v>3720882.2249999996</v>
      </c>
      <c r="D124" s="5">
        <f t="shared" si="39"/>
        <v>31.124575000000021</v>
      </c>
      <c r="E124" s="5">
        <f t="shared" si="47"/>
        <v>115810877.87817945</v>
      </c>
      <c r="F124" s="4">
        <f t="shared" si="40"/>
        <v>275</v>
      </c>
      <c r="G124" s="4">
        <f>IF(getSign(F124) &lt; 0, F124, F124 - 0.85 * fc_prime)</f>
        <v>258</v>
      </c>
      <c r="H124" s="2">
        <f t="shared" si="41"/>
        <v>200</v>
      </c>
      <c r="I124" s="7">
        <f t="shared" si="42"/>
        <v>324212.36185046664</v>
      </c>
      <c r="J124" s="7">
        <f t="shared" si="35"/>
        <v>64842472.370093331</v>
      </c>
      <c r="K124" s="7">
        <f t="shared" si="43"/>
        <v>75.72917334141097</v>
      </c>
      <c r="L124" s="7">
        <f>IF(getSign(K124) &lt; 0, K124, K124 - 0.85 * fc_prime)</f>
        <v>58.72917334141097</v>
      </c>
      <c r="M124" s="2">
        <f t="shared" si="44"/>
        <v>-200</v>
      </c>
      <c r="N124" s="7">
        <f t="shared" si="45"/>
        <v>73801.255808311296</v>
      </c>
      <c r="O124" s="7">
        <f t="shared" si="36"/>
        <v>-14760251.16166226</v>
      </c>
      <c r="P124" s="7">
        <f t="shared" si="48"/>
        <v>165.89309908661053</v>
      </c>
      <c r="Q124" s="7">
        <f t="shared" si="49"/>
        <v>4118.8958426587778</v>
      </c>
    </row>
    <row r="125" spans="1:17" x14ac:dyDescent="0.25">
      <c r="A125" s="4">
        <f t="shared" si="46"/>
        <v>520.00099999999998</v>
      </c>
      <c r="B125" s="4">
        <f>b_1*A125</f>
        <v>442.00084999999996</v>
      </c>
      <c r="C125" s="4">
        <f t="shared" si="38"/>
        <v>3757007.2249999996</v>
      </c>
      <c r="D125" s="5">
        <f t="shared" si="39"/>
        <v>28.999575000000021</v>
      </c>
      <c r="E125" s="5">
        <f t="shared" si="47"/>
        <v>108951612.79692945</v>
      </c>
      <c r="F125" s="4">
        <f t="shared" si="40"/>
        <v>275</v>
      </c>
      <c r="G125" s="4">
        <f>IF(getSign(F125) &lt; 0, F125, F125 - 0.85 * fc_prime)</f>
        <v>258</v>
      </c>
      <c r="H125" s="2">
        <f t="shared" si="41"/>
        <v>200</v>
      </c>
      <c r="I125" s="7">
        <f t="shared" si="42"/>
        <v>324212.36185046664</v>
      </c>
      <c r="J125" s="7">
        <f t="shared" si="35"/>
        <v>64842472.370093331</v>
      </c>
      <c r="K125" s="7">
        <f t="shared" si="43"/>
        <v>80.770229288020573</v>
      </c>
      <c r="L125" s="7">
        <f>IF(getSign(K125) &lt; 0, K125, K125 - 0.85 * fc_prime)</f>
        <v>63.770229288020573</v>
      </c>
      <c r="M125" s="2">
        <f t="shared" si="44"/>
        <v>-200</v>
      </c>
      <c r="N125" s="7">
        <f t="shared" si="45"/>
        <v>80136.033539592841</v>
      </c>
      <c r="O125" s="7">
        <f t="shared" si="36"/>
        <v>-16027206.707918568</v>
      </c>
      <c r="P125" s="7">
        <f t="shared" si="48"/>
        <v>157.76687845910422</v>
      </c>
      <c r="Q125" s="7">
        <f t="shared" si="49"/>
        <v>4161.3556203900589</v>
      </c>
    </row>
    <row r="126" spans="1:17" x14ac:dyDescent="0.25">
      <c r="A126" s="4">
        <f t="shared" si="46"/>
        <v>525.00099999999998</v>
      </c>
      <c r="B126" s="4">
        <f>b_1*A126</f>
        <v>446.25084999999996</v>
      </c>
      <c r="C126" s="4">
        <f t="shared" si="38"/>
        <v>3793132.2249999996</v>
      </c>
      <c r="D126" s="5">
        <f t="shared" si="39"/>
        <v>26.874575000000021</v>
      </c>
      <c r="E126" s="5">
        <f t="shared" si="47"/>
        <v>101938816.46567945</v>
      </c>
      <c r="F126" s="4">
        <f t="shared" si="40"/>
        <v>275</v>
      </c>
      <c r="G126" s="4">
        <f>IF(getSign(F126) &lt; 0, F126, F126 - 0.85 * fc_prime)</f>
        <v>258</v>
      </c>
      <c r="H126" s="2">
        <f t="shared" si="41"/>
        <v>200</v>
      </c>
      <c r="I126" s="7">
        <f t="shared" si="42"/>
        <v>324212.36185046664</v>
      </c>
      <c r="J126" s="7">
        <f t="shared" si="35"/>
        <v>64842472.370093331</v>
      </c>
      <c r="K126" s="7">
        <f t="shared" si="43"/>
        <v>85.715265304256533</v>
      </c>
      <c r="L126" s="7">
        <f>IF(getSign(K126) &lt; 0, K126, K126 - 0.85 * fc_prime)</f>
        <v>68.715265304256533</v>
      </c>
      <c r="M126" s="2">
        <f t="shared" si="44"/>
        <v>-200</v>
      </c>
      <c r="N126" s="7">
        <f t="shared" si="45"/>
        <v>86350.149067730381</v>
      </c>
      <c r="O126" s="7">
        <f t="shared" si="36"/>
        <v>-17270029.813546076</v>
      </c>
      <c r="P126" s="7">
        <f t="shared" si="48"/>
        <v>149.51125902222668</v>
      </c>
      <c r="Q126" s="7">
        <f t="shared" si="49"/>
        <v>4203.6947359181968</v>
      </c>
    </row>
    <row r="127" spans="1:17" x14ac:dyDescent="0.25">
      <c r="A127" s="4">
        <f t="shared" si="46"/>
        <v>530.00099999999998</v>
      </c>
      <c r="B127" s="4">
        <f>b_1*A127</f>
        <v>450.50084999999996</v>
      </c>
      <c r="C127" s="4">
        <f t="shared" si="38"/>
        <v>3829257.2249999996</v>
      </c>
      <c r="D127" s="5">
        <f t="shared" si="39"/>
        <v>24.749575000000021</v>
      </c>
      <c r="E127" s="5">
        <f t="shared" si="47"/>
        <v>94772488.884429455</v>
      </c>
      <c r="F127" s="4">
        <f t="shared" si="40"/>
        <v>275</v>
      </c>
      <c r="G127" s="4">
        <f>IF(getSign(F127) &lt; 0, F127, F127 - 0.85 * fc_prime)</f>
        <v>258</v>
      </c>
      <c r="H127" s="2">
        <f t="shared" si="41"/>
        <v>200</v>
      </c>
      <c r="I127" s="7">
        <f t="shared" si="42"/>
        <v>324212.36185046664</v>
      </c>
      <c r="J127" s="7">
        <f t="shared" si="35"/>
        <v>64842472.370093331</v>
      </c>
      <c r="K127" s="7">
        <f t="shared" si="43"/>
        <v>90.566998930190678</v>
      </c>
      <c r="L127" s="7">
        <f>IF(getSign(K127) &lt; 0, K127, K127 - 0.85 * fc_prime)</f>
        <v>73.566998930190678</v>
      </c>
      <c r="M127" s="2">
        <f t="shared" si="44"/>
        <v>-200</v>
      </c>
      <c r="N127" s="7">
        <f t="shared" si="45"/>
        <v>92447.01735429409</v>
      </c>
      <c r="O127" s="7">
        <f t="shared" si="36"/>
        <v>-18489403.47085882</v>
      </c>
      <c r="P127" s="7">
        <f t="shared" si="48"/>
        <v>141.12555778366399</v>
      </c>
      <c r="Q127" s="7">
        <f t="shared" si="49"/>
        <v>4245.91660420476</v>
      </c>
    </row>
    <row r="128" spans="1:17" x14ac:dyDescent="0.25">
      <c r="A128" s="4">
        <f t="shared" si="46"/>
        <v>535.00099999999998</v>
      </c>
      <c r="B128" s="4">
        <f>b_1*A128</f>
        <v>454.75084999999996</v>
      </c>
      <c r="C128" s="4">
        <f t="shared" si="38"/>
        <v>3865382.2249999996</v>
      </c>
      <c r="D128" s="5">
        <f t="shared" si="39"/>
        <v>22.624575000000021</v>
      </c>
      <c r="E128" s="5">
        <f t="shared" ref="E128:E137" si="50">C128 * D128</f>
        <v>87452630.053179443</v>
      </c>
      <c r="F128" s="4">
        <f t="shared" si="40"/>
        <v>275</v>
      </c>
      <c r="G128" s="4">
        <f>IF(getSign(F128) &lt; 0, F128, F128 - 0.85 * fc_prime)</f>
        <v>258</v>
      </c>
      <c r="H128" s="2">
        <f t="shared" si="41"/>
        <v>200</v>
      </c>
      <c r="I128" s="7">
        <f t="shared" si="42"/>
        <v>324212.36185046664</v>
      </c>
      <c r="J128" s="7">
        <f t="shared" si="35"/>
        <v>64842472.370093331</v>
      </c>
      <c r="K128" s="7">
        <f t="shared" si="43"/>
        <v>95.328046115801627</v>
      </c>
      <c r="L128" s="7">
        <f>IF(getSign(K128) &lt; 0, K128, K128 - 0.85 * fc_prime)</f>
        <v>78.328046115801627</v>
      </c>
      <c r="M128" s="2">
        <f t="shared" si="44"/>
        <v>-200</v>
      </c>
      <c r="N128" s="7">
        <f t="shared" si="45"/>
        <v>98429.925698977968</v>
      </c>
      <c r="O128" s="7">
        <f t="shared" si="36"/>
        <v>-19685985.139795594</v>
      </c>
      <c r="P128" s="7">
        <f t="shared" ref="P128:P137" si="51">SUM(E128, J128, O128) / (1000 ^ 2)</f>
        <v>132.60911728347719</v>
      </c>
      <c r="Q128" s="7">
        <f t="shared" ref="Q128:Q137" si="52">SUM(C128, I128, N128) / 1000</f>
        <v>4288.0245125494439</v>
      </c>
    </row>
    <row r="129" spans="1:17" x14ac:dyDescent="0.25">
      <c r="A129" s="4">
        <f t="shared" si="46"/>
        <v>540.00099999999998</v>
      </c>
      <c r="B129" s="4">
        <f>b_1*A129</f>
        <v>459.00084999999996</v>
      </c>
      <c r="C129" s="4">
        <f t="shared" si="38"/>
        <v>3901507.2249999996</v>
      </c>
      <c r="D129" s="5">
        <f t="shared" si="39"/>
        <v>20.499575000000021</v>
      </c>
      <c r="E129" s="5">
        <f t="shared" si="50"/>
        <v>79979239.971929446</v>
      </c>
      <c r="F129" s="4">
        <f t="shared" si="40"/>
        <v>275</v>
      </c>
      <c r="G129" s="4">
        <f>IF(getSign(F129) &lt; 0, F129, F129 - 0.85 * fc_prime)</f>
        <v>258</v>
      </c>
      <c r="H129" s="2">
        <f t="shared" si="41"/>
        <v>200</v>
      </c>
      <c r="I129" s="7">
        <f t="shared" si="42"/>
        <v>324212.36185046664</v>
      </c>
      <c r="J129" s="7">
        <f t="shared" si="35"/>
        <v>64842472.370093331</v>
      </c>
      <c r="K129" s="7">
        <f t="shared" si="43"/>
        <v>100.00092592421123</v>
      </c>
      <c r="L129" s="7">
        <f>IF(getSign(K129) &lt; 0, K129, K129 - 0.85 * fc_prime)</f>
        <v>83.000925924211231</v>
      </c>
      <c r="M129" s="2">
        <f t="shared" si="44"/>
        <v>-200</v>
      </c>
      <c r="N129" s="7">
        <f t="shared" si="45"/>
        <v>104302.03964986105</v>
      </c>
      <c r="O129" s="7">
        <f t="shared" si="36"/>
        <v>-20860407.929972209</v>
      </c>
      <c r="P129" s="7">
        <f t="shared" si="51"/>
        <v>123.96130441205058</v>
      </c>
      <c r="Q129" s="7">
        <f t="shared" si="52"/>
        <v>4330.0216265003273</v>
      </c>
    </row>
    <row r="130" spans="1:17" x14ac:dyDescent="0.25">
      <c r="A130" s="4">
        <f t="shared" si="46"/>
        <v>545.00099999999998</v>
      </c>
      <c r="B130" s="4">
        <f>b_1*A130</f>
        <v>463.25084999999996</v>
      </c>
      <c r="C130" s="4">
        <f t="shared" si="38"/>
        <v>3937632.2249999996</v>
      </c>
      <c r="D130" s="5">
        <f t="shared" si="39"/>
        <v>18.374575000000021</v>
      </c>
      <c r="E130" s="5">
        <f t="shared" si="50"/>
        <v>72352318.640679449</v>
      </c>
      <c r="F130" s="4">
        <f t="shared" si="40"/>
        <v>275</v>
      </c>
      <c r="G130" s="4">
        <f>IF(getSign(F130) &lt; 0, F130, F130 - 0.85 * fc_prime)</f>
        <v>258</v>
      </c>
      <c r="H130" s="2">
        <f t="shared" si="41"/>
        <v>200</v>
      </c>
      <c r="I130" s="7">
        <f t="shared" si="42"/>
        <v>324212.36185046664</v>
      </c>
      <c r="J130" s="7">
        <f t="shared" si="35"/>
        <v>64842472.370093331</v>
      </c>
      <c r="K130" s="7">
        <f t="shared" si="43"/>
        <v>104.58806497602754</v>
      </c>
      <c r="L130" s="7">
        <f>IF(getSign(K130) &lt; 0, K130, K130 - 0.85 * fc_prime)</f>
        <v>87.588064976027539</v>
      </c>
      <c r="M130" s="2">
        <f t="shared" si="44"/>
        <v>-200</v>
      </c>
      <c r="N130" s="7">
        <f t="shared" si="45"/>
        <v>110066.40858833343</v>
      </c>
      <c r="O130" s="7">
        <f t="shared" si="36"/>
        <v>-22013281.717666686</v>
      </c>
      <c r="P130" s="7">
        <f t="shared" si="51"/>
        <v>115.18150929310607</v>
      </c>
      <c r="Q130" s="7">
        <f t="shared" si="52"/>
        <v>4371.9109954387995</v>
      </c>
    </row>
    <row r="131" spans="1:17" x14ac:dyDescent="0.25">
      <c r="A131" s="4">
        <f t="shared" si="46"/>
        <v>550.00099999999998</v>
      </c>
      <c r="B131" s="4">
        <f>b_1*A131</f>
        <v>467.50084999999996</v>
      </c>
      <c r="C131" s="4">
        <f t="shared" si="38"/>
        <v>3973757.2249999996</v>
      </c>
      <c r="D131" s="5">
        <f t="shared" si="39"/>
        <v>16.249575000000021</v>
      </c>
      <c r="E131" s="5">
        <f t="shared" si="50"/>
        <v>64571866.059429452</v>
      </c>
      <c r="F131" s="4">
        <f t="shared" si="40"/>
        <v>275</v>
      </c>
      <c r="G131" s="4">
        <f>IF(getSign(F131) &lt; 0, F131, F131 - 0.85 * fc_prime)</f>
        <v>258</v>
      </c>
      <c r="H131" s="2">
        <f t="shared" si="41"/>
        <v>200</v>
      </c>
      <c r="I131" s="7">
        <f t="shared" si="42"/>
        <v>324212.36185046664</v>
      </c>
      <c r="J131" s="7">
        <f t="shared" si="35"/>
        <v>64842472.370093331</v>
      </c>
      <c r="K131" s="7">
        <f t="shared" si="43"/>
        <v>109.09180165126971</v>
      </c>
      <c r="L131" s="7">
        <f>IF(getSign(K131) &lt; 0, K131, K131 - 0.85 * fc_prime)</f>
        <v>92.091801651269705</v>
      </c>
      <c r="M131" s="2">
        <f t="shared" si="44"/>
        <v>-200</v>
      </c>
      <c r="N131" s="7">
        <f t="shared" si="45"/>
        <v>115725.97100939092</v>
      </c>
      <c r="O131" s="7">
        <f t="shared" si="36"/>
        <v>-23145194.201878186</v>
      </c>
      <c r="P131" s="7">
        <f t="shared" si="51"/>
        <v>106.26914422764459</v>
      </c>
      <c r="Q131" s="7">
        <f t="shared" si="52"/>
        <v>4413.6955578598572</v>
      </c>
    </row>
    <row r="132" spans="1:17" x14ac:dyDescent="0.25">
      <c r="A132" s="4">
        <f t="shared" si="46"/>
        <v>555.00099999999998</v>
      </c>
      <c r="B132" s="4">
        <f>b_1*A132</f>
        <v>471.75084999999996</v>
      </c>
      <c r="C132" s="4">
        <f t="shared" si="38"/>
        <v>4009882.2249999996</v>
      </c>
      <c r="D132" s="5">
        <f t="shared" si="39"/>
        <v>14.124575000000021</v>
      </c>
      <c r="E132" s="5">
        <f t="shared" si="50"/>
        <v>56637882.228179455</v>
      </c>
      <c r="F132" s="4">
        <f t="shared" si="40"/>
        <v>275</v>
      </c>
      <c r="G132" s="4">
        <f>IF(getSign(F132) &lt; 0, F132, F132 - 0.85 * fc_prime)</f>
        <v>258</v>
      </c>
      <c r="H132" s="2">
        <f t="shared" si="41"/>
        <v>200</v>
      </c>
      <c r="I132" s="7">
        <f t="shared" si="42"/>
        <v>324212.36185046664</v>
      </c>
      <c r="J132" s="7">
        <f t="shared" si="35"/>
        <v>64842472.370093331</v>
      </c>
      <c r="K132" s="7">
        <f t="shared" si="43"/>
        <v>113.51439006416203</v>
      </c>
      <c r="L132" s="7">
        <f>IF(getSign(K132) &lt; 0, K132, K132 - 0.85 * fc_prime)</f>
        <v>96.514390064162029</v>
      </c>
      <c r="M132" s="2">
        <f t="shared" si="44"/>
        <v>-200</v>
      </c>
      <c r="N132" s="7">
        <f t="shared" si="45"/>
        <v>121283.55951650847</v>
      </c>
      <c r="O132" s="7">
        <f t="shared" si="36"/>
        <v>-24256711.903301693</v>
      </c>
      <c r="P132" s="7">
        <f t="shared" si="51"/>
        <v>97.22364269497109</v>
      </c>
      <c r="Q132" s="7">
        <f t="shared" si="52"/>
        <v>4455.3781463669748</v>
      </c>
    </row>
    <row r="133" spans="1:17" x14ac:dyDescent="0.25">
      <c r="A133" s="4">
        <f t="shared" si="46"/>
        <v>560.00099999999998</v>
      </c>
      <c r="B133" s="4">
        <f>b_1*A133</f>
        <v>476.00084999999996</v>
      </c>
      <c r="C133" s="4">
        <f t="shared" si="38"/>
        <v>4046007.2249999996</v>
      </c>
      <c r="D133" s="5">
        <f t="shared" si="39"/>
        <v>11.999575000000021</v>
      </c>
      <c r="E133" s="5">
        <f t="shared" si="50"/>
        <v>48550367.146929458</v>
      </c>
      <c r="F133" s="4">
        <f t="shared" si="40"/>
        <v>275</v>
      </c>
      <c r="G133" s="4">
        <f>IF(getSign(F133) &lt; 0, F133, F133 - 0.85 * fc_prime)</f>
        <v>258</v>
      </c>
      <c r="H133" s="2">
        <f t="shared" si="41"/>
        <v>200</v>
      </c>
      <c r="I133" s="7">
        <f t="shared" si="42"/>
        <v>324212.36185046664</v>
      </c>
      <c r="J133" s="7">
        <f t="shared" si="35"/>
        <v>64842472.370093331</v>
      </c>
      <c r="K133" s="7">
        <f t="shared" si="43"/>
        <v>117.85800382499315</v>
      </c>
      <c r="L133" s="7">
        <f>IF(getSign(K133) &lt; 0, K133, K133 - 0.85 * fc_prime)</f>
        <v>100.85800382499315</v>
      </c>
      <c r="M133" s="2">
        <f t="shared" si="44"/>
        <v>-200</v>
      </c>
      <c r="N133" s="7">
        <f t="shared" si="45"/>
        <v>126741.9055489319</v>
      </c>
      <c r="O133" s="7">
        <f t="shared" si="36"/>
        <v>-25348381.10978638</v>
      </c>
      <c r="P133" s="7">
        <f t="shared" si="51"/>
        <v>88.044458407236405</v>
      </c>
      <c r="Q133" s="7">
        <f t="shared" si="52"/>
        <v>4496.9614923993986</v>
      </c>
    </row>
    <row r="134" spans="1:17" x14ac:dyDescent="0.25">
      <c r="A134" s="4">
        <f t="shared" si="46"/>
        <v>565.00099999999998</v>
      </c>
      <c r="B134" s="4">
        <f>b_1*A134</f>
        <v>480.25084999999996</v>
      </c>
      <c r="C134" s="4">
        <f t="shared" si="38"/>
        <v>4082132.2249999996</v>
      </c>
      <c r="D134" s="5">
        <f t="shared" si="39"/>
        <v>9.8745750000000214</v>
      </c>
      <c r="E134" s="5">
        <f t="shared" si="50"/>
        <v>40309320.815679461</v>
      </c>
      <c r="F134" s="4">
        <f t="shared" si="40"/>
        <v>275</v>
      </c>
      <c r="G134" s="4">
        <f>IF(getSign(F134) &lt; 0, F134, F134 - 0.85 * fc_prime)</f>
        <v>258</v>
      </c>
      <c r="H134" s="2">
        <f t="shared" si="41"/>
        <v>200</v>
      </c>
      <c r="I134" s="7">
        <f t="shared" si="42"/>
        <v>324212.36185046664</v>
      </c>
      <c r="J134" s="7">
        <f t="shared" si="35"/>
        <v>64842472.370093331</v>
      </c>
      <c r="K134" s="7">
        <f t="shared" si="43"/>
        <v>122.12473960223078</v>
      </c>
      <c r="L134" s="7">
        <f>IF(getSign(K134) &lt; 0, K134, K134 - 0.85 * fc_prime)</f>
        <v>105.12473960223078</v>
      </c>
      <c r="M134" s="2">
        <f t="shared" si="44"/>
        <v>-200</v>
      </c>
      <c r="N134" s="7">
        <f t="shared" si="45"/>
        <v>132103.6438579633</v>
      </c>
      <c r="O134" s="7">
        <f t="shared" si="36"/>
        <v>-26420728.771592658</v>
      </c>
      <c r="P134" s="7">
        <f t="shared" si="51"/>
        <v>78.731064414180125</v>
      </c>
      <c r="Q134" s="7">
        <f t="shared" si="52"/>
        <v>4538.4482307084299</v>
      </c>
    </row>
    <row r="135" spans="1:17" x14ac:dyDescent="0.25">
      <c r="A135" s="4">
        <f t="shared" si="46"/>
        <v>570.00099999999998</v>
      </c>
      <c r="B135" s="4">
        <f>b_1*A135</f>
        <v>484.50084999999996</v>
      </c>
      <c r="C135" s="4">
        <f t="shared" si="38"/>
        <v>4118257.2249999992</v>
      </c>
      <c r="D135" s="5">
        <f t="shared" si="39"/>
        <v>7.7495750000000214</v>
      </c>
      <c r="E135" s="5">
        <f t="shared" si="50"/>
        <v>31914743.234429456</v>
      </c>
      <c r="F135" s="4">
        <f t="shared" si="40"/>
        <v>275</v>
      </c>
      <c r="G135" s="4">
        <f>IF(getSign(F135) &lt; 0, F135, F135 - 0.85 * fc_prime)</f>
        <v>258</v>
      </c>
      <c r="H135" s="2">
        <f t="shared" si="41"/>
        <v>200</v>
      </c>
      <c r="I135" s="7">
        <f t="shared" si="42"/>
        <v>324212.36185046664</v>
      </c>
      <c r="J135" s="7">
        <f t="shared" si="35"/>
        <v>64842472.370093331</v>
      </c>
      <c r="K135" s="7">
        <f t="shared" si="43"/>
        <v>126.316620497157</v>
      </c>
      <c r="L135" s="7">
        <f>IF(getSign(K135) &lt; 0, K135, K135 - 0.85 * fc_prime)</f>
        <v>109.316620497157</v>
      </c>
      <c r="M135" s="2">
        <f t="shared" si="44"/>
        <v>-200</v>
      </c>
      <c r="N135" s="7">
        <f t="shared" si="45"/>
        <v>137371.31674765275</v>
      </c>
      <c r="O135" s="7">
        <f t="shared" si="36"/>
        <v>-27474263.349530548</v>
      </c>
      <c r="P135" s="7">
        <f t="shared" si="51"/>
        <v>69.282952254992253</v>
      </c>
      <c r="Q135" s="7">
        <f t="shared" si="52"/>
        <v>4579.8409035981185</v>
      </c>
    </row>
    <row r="136" spans="1:17" x14ac:dyDescent="0.25">
      <c r="A136" s="4">
        <f t="shared" si="46"/>
        <v>575.00099999999998</v>
      </c>
      <c r="B136" s="4">
        <f>b_1*A136</f>
        <v>488.75084999999996</v>
      </c>
      <c r="C136" s="4">
        <f t="shared" si="38"/>
        <v>4154382.2249999992</v>
      </c>
      <c r="D136" s="5">
        <f t="shared" si="39"/>
        <v>5.6245750000000214</v>
      </c>
      <c r="E136" s="5">
        <f t="shared" si="50"/>
        <v>23366634.403179459</v>
      </c>
      <c r="F136" s="4">
        <f t="shared" si="40"/>
        <v>275</v>
      </c>
      <c r="G136" s="4">
        <f>IF(getSign(F136) &lt; 0, F136, F136 - 0.85 * fc_prime)</f>
        <v>258</v>
      </c>
      <c r="H136" s="2">
        <f t="shared" si="41"/>
        <v>200</v>
      </c>
      <c r="I136" s="7">
        <f t="shared" si="42"/>
        <v>324212.36185046664</v>
      </c>
      <c r="J136" s="7">
        <f t="shared" si="35"/>
        <v>64842472.370093331</v>
      </c>
      <c r="K136" s="7">
        <f t="shared" si="43"/>
        <v>130.43559924243607</v>
      </c>
      <c r="L136" s="7">
        <f>IF(getSign(K136) &lt; 0, K136, K136 - 0.85 * fc_prime)</f>
        <v>113.43559924243607</v>
      </c>
      <c r="M136" s="2">
        <f t="shared" si="44"/>
        <v>-200</v>
      </c>
      <c r="N136" s="7">
        <f t="shared" si="45"/>
        <v>142547.37809423724</v>
      </c>
      <c r="O136" s="7">
        <f t="shared" si="36"/>
        <v>-28509475.618847448</v>
      </c>
      <c r="P136" s="7">
        <f t="shared" si="51"/>
        <v>59.69963115442534</v>
      </c>
      <c r="Q136" s="7">
        <f t="shared" si="52"/>
        <v>4621.1419649447034</v>
      </c>
    </row>
    <row r="137" spans="1:17" x14ac:dyDescent="0.25">
      <c r="A137" s="4">
        <f t="shared" si="46"/>
        <v>580.00099999999998</v>
      </c>
      <c r="B137" s="4">
        <f>b_1*A137</f>
        <v>493.00084999999996</v>
      </c>
      <c r="C137" s="4">
        <f t="shared" si="38"/>
        <v>4190507.2249999992</v>
      </c>
      <c r="D137" s="5">
        <f t="shared" si="39"/>
        <v>3.4995750000000214</v>
      </c>
      <c r="E137" s="5">
        <f t="shared" si="50"/>
        <v>14664994.321929462</v>
      </c>
      <c r="F137" s="4">
        <f t="shared" si="40"/>
        <v>275</v>
      </c>
      <c r="G137" s="4">
        <f>IF(getSign(F137) &lt; 0, F137, F137 - 0.85 * fc_prime)</f>
        <v>258</v>
      </c>
      <c r="H137" s="2">
        <f t="shared" si="41"/>
        <v>200</v>
      </c>
      <c r="I137" s="7">
        <f t="shared" si="42"/>
        <v>324212.36185046664</v>
      </c>
      <c r="J137" s="7">
        <f t="shared" si="35"/>
        <v>64842472.370093331</v>
      </c>
      <c r="K137" s="7">
        <f t="shared" si="43"/>
        <v>134.48356123523922</v>
      </c>
      <c r="L137" s="7">
        <f>IF(getSign(K137) &lt; 0, K137, K137 - 0.85 * fc_prime)</f>
        <v>117.48356123523922</v>
      </c>
      <c r="M137" s="2">
        <f t="shared" si="44"/>
        <v>-200</v>
      </c>
      <c r="N137" s="7">
        <f t="shared" si="45"/>
        <v>147634.19715767767</v>
      </c>
      <c r="O137" s="7">
        <f t="shared" si="36"/>
        <v>-29526839.431535535</v>
      </c>
      <c r="P137" s="7">
        <f t="shared" si="51"/>
        <v>49.980627260487267</v>
      </c>
      <c r="Q137" s="7">
        <f t="shared" si="52"/>
        <v>4662.3537840081435</v>
      </c>
    </row>
    <row r="138" spans="1:17" x14ac:dyDescent="0.25">
      <c r="A138" s="4">
        <f t="shared" ref="A138:A140" si="53">A137 + increment</f>
        <v>585.00099999999998</v>
      </c>
      <c r="B138" s="4">
        <f>b_1*A138</f>
        <v>497.25084999999996</v>
      </c>
      <c r="C138" s="4">
        <f t="shared" si="38"/>
        <v>4226632.2249999996</v>
      </c>
      <c r="D138" s="5">
        <f t="shared" ref="D138:D140" si="54">ABS(h / 2) - (B138 / 2)</f>
        <v>1.3745750000000214</v>
      </c>
      <c r="E138" s="5">
        <f t="shared" ref="E138:E140" si="55">C138 * D138</f>
        <v>5809822.9906794652</v>
      </c>
      <c r="F138" s="4">
        <f t="shared" ref="F138:F140" si="56">getFs(d_1, A138, fy)</f>
        <v>275</v>
      </c>
      <c r="G138" s="4">
        <f>IF(getSign(F138) &lt; 0, F138, F138 - 0.85 * fc_prime)</f>
        <v>258</v>
      </c>
      <c r="H138" s="2">
        <f t="shared" si="41"/>
        <v>200</v>
      </c>
      <c r="I138" s="7">
        <f t="shared" ref="I138:I140" si="57">G138 * As_1</f>
        <v>324212.36185046664</v>
      </c>
      <c r="J138" s="7">
        <f t="shared" ref="J138:J140" si="58">I138 * H138</f>
        <v>64842472.370093331</v>
      </c>
      <c r="K138" s="7">
        <f t="shared" ref="K138:K140" si="59">getFs(d_2, A138, fy)</f>
        <v>138.46232741482493</v>
      </c>
      <c r="L138" s="7">
        <f>IF(getSign(K138) &lt; 0, K138, K138 - 0.85 * fc_prime)</f>
        <v>121.46232741482493</v>
      </c>
      <c r="M138" s="2">
        <f t="shared" si="44"/>
        <v>-200</v>
      </c>
      <c r="N138" s="7">
        <f t="shared" ref="N138:N140" si="60">As_2 * L138</f>
        <v>152634.06219773286</v>
      </c>
      <c r="O138" s="7">
        <f t="shared" ref="O138:O140" si="61">N138 * M138</f>
        <v>-30526812.43954657</v>
      </c>
      <c r="P138" s="7">
        <f t="shared" ref="P138:P140" si="62">SUM(E138, J138, O138) / (1000 ^ 2)</f>
        <v>40.125482921226215</v>
      </c>
      <c r="Q138" s="7">
        <f t="shared" ref="Q138:Q140" si="63">SUM(C138, I138, N138) / 1000</f>
        <v>4703.4786490481993</v>
      </c>
    </row>
    <row r="139" spans="1:17" x14ac:dyDescent="0.25">
      <c r="A139" s="4">
        <f t="shared" si="53"/>
        <v>590.00099999999998</v>
      </c>
      <c r="B139" s="4">
        <f>b_1*A139</f>
        <v>501.50084999999996</v>
      </c>
      <c r="C139" s="4">
        <f t="shared" si="38"/>
        <v>4262757.2249999996</v>
      </c>
      <c r="D139" s="5">
        <f t="shared" si="54"/>
        <v>-0.75042499999997858</v>
      </c>
      <c r="E139" s="5">
        <f t="shared" si="55"/>
        <v>-3198879.5905705336</v>
      </c>
      <c r="F139" s="4">
        <f t="shared" si="56"/>
        <v>275</v>
      </c>
      <c r="G139" s="4">
        <f>IF(getSign(F139) &lt; 0, F139, F139 - 0.85 * fc_prime)</f>
        <v>258</v>
      </c>
      <c r="H139" s="2">
        <f t="shared" si="41"/>
        <v>200</v>
      </c>
      <c r="I139" s="7">
        <f t="shared" si="57"/>
        <v>324212.36185046664</v>
      </c>
      <c r="J139" s="7">
        <f t="shared" si="58"/>
        <v>64842472.370093331</v>
      </c>
      <c r="K139" s="7">
        <f t="shared" si="59"/>
        <v>142.37365699380169</v>
      </c>
      <c r="L139" s="7">
        <f>IF(getSign(K139) &lt; 0, K139, K139 - 0.85 * fc_prime)</f>
        <v>125.37365699380169</v>
      </c>
      <c r="M139" s="2">
        <f t="shared" si="44"/>
        <v>-200</v>
      </c>
      <c r="N139" s="7">
        <f t="shared" si="60"/>
        <v>157549.18390616559</v>
      </c>
      <c r="O139" s="7">
        <f t="shared" si="61"/>
        <v>-31509836.781233117</v>
      </c>
      <c r="P139" s="7">
        <f t="shared" si="62"/>
        <v>30.133755998289683</v>
      </c>
      <c r="Q139" s="7">
        <f t="shared" si="63"/>
        <v>4744.518770756632</v>
      </c>
    </row>
    <row r="140" spans="1:17" x14ac:dyDescent="0.25">
      <c r="A140" s="4">
        <f t="shared" si="53"/>
        <v>595.00099999999998</v>
      </c>
      <c r="B140" s="4">
        <f>b_1*A140</f>
        <v>505.75084999999996</v>
      </c>
      <c r="C140" s="4">
        <f t="shared" si="38"/>
        <v>4298882.2249999996</v>
      </c>
      <c r="D140" s="5">
        <f t="shared" si="54"/>
        <v>-2.8754249999999786</v>
      </c>
      <c r="E140" s="5">
        <f t="shared" si="55"/>
        <v>-12361113.421820533</v>
      </c>
      <c r="F140" s="4">
        <f t="shared" si="56"/>
        <v>275</v>
      </c>
      <c r="G140" s="4">
        <f>IF(getSign(F140) &lt; 0, F140, F140 - 0.85 * fc_prime)</f>
        <v>258</v>
      </c>
      <c r="H140" s="2">
        <f t="shared" si="41"/>
        <v>200</v>
      </c>
      <c r="I140" s="7">
        <f t="shared" si="57"/>
        <v>324212.36185046664</v>
      </c>
      <c r="J140" s="7">
        <f t="shared" si="58"/>
        <v>64842472.370093331</v>
      </c>
      <c r="K140" s="7">
        <f t="shared" si="59"/>
        <v>146.21925005168058</v>
      </c>
      <c r="L140" s="7">
        <f>IF(getSign(K140) &lt; 0, K140, K140 - 0.85 * fc_prime)</f>
        <v>129.21925005168058</v>
      </c>
      <c r="M140" s="2">
        <f t="shared" si="44"/>
        <v>-200</v>
      </c>
      <c r="N140" s="7">
        <f t="shared" si="60"/>
        <v>162381.6986658969</v>
      </c>
      <c r="O140" s="7">
        <f t="shared" si="61"/>
        <v>-32476339.733179379</v>
      </c>
      <c r="P140" s="7">
        <f t="shared" si="62"/>
        <v>20.005019215093416</v>
      </c>
      <c r="Q140" s="7">
        <f t="shared" si="63"/>
        <v>4785.4762855163626</v>
      </c>
    </row>
    <row r="141" spans="1:17" x14ac:dyDescent="0.25">
      <c r="A141" s="4">
        <v>604.67999999999995</v>
      </c>
      <c r="B141" s="4">
        <f>b_1*A141</f>
        <v>513.97799999999995</v>
      </c>
      <c r="C141" s="4">
        <f t="shared" si="38"/>
        <v>4368812.9999999991</v>
      </c>
      <c r="D141" s="5">
        <f t="shared" ref="D141" si="64">ABS(h / 2) - (B141 / 2)</f>
        <v>-6.9889999999999759</v>
      </c>
      <c r="E141" s="5">
        <f t="shared" ref="E141" si="65">C141 * D141</f>
        <v>-30533634.056999888</v>
      </c>
      <c r="F141" s="4">
        <f t="shared" ref="F141" si="66">getFs(d_1, A141, fy)</f>
        <v>275</v>
      </c>
      <c r="G141" s="4">
        <f>IF(getSign(F141) &lt; 0, F141, F141 - 0.85 * fc_prime)</f>
        <v>258</v>
      </c>
      <c r="H141" s="2">
        <f t="shared" si="41"/>
        <v>200</v>
      </c>
      <c r="I141" s="7">
        <f t="shared" ref="I141" si="67">G141 * As_1</f>
        <v>324212.36185046664</v>
      </c>
      <c r="J141" s="7">
        <f t="shared" ref="J141" si="68">I141 * H141</f>
        <v>64842472.370093331</v>
      </c>
      <c r="K141" s="7">
        <f t="shared" ref="K141" si="69">getFs(d_2, A141, fy)</f>
        <v>153.48283389561416</v>
      </c>
      <c r="L141" s="7">
        <f>IF(getSign(K141) &lt; 0, K141, K141 - 0.85 * fc_prime)</f>
        <v>136.48283389561416</v>
      </c>
      <c r="M141" s="2">
        <f t="shared" si="44"/>
        <v>-200</v>
      </c>
      <c r="N141" s="7">
        <f t="shared" ref="N141" si="70">As_2 * L141</f>
        <v>171509.387323031</v>
      </c>
      <c r="O141" s="7">
        <f t="shared" ref="O141" si="71">N141 * M141</f>
        <v>-34301877.464606203</v>
      </c>
      <c r="P141" s="7">
        <f t="shared" ref="P141" si="72">SUM(E141, J141, O141) / (1000 ^ 2)</f>
        <v>6.9608484872356055E-3</v>
      </c>
      <c r="Q141" s="7">
        <f t="shared" ref="Q141" si="73">SUM(C141, I141, N141) / 1000</f>
        <v>4864.5347491734965</v>
      </c>
    </row>
    <row r="142" spans="1:17" x14ac:dyDescent="0.25">
      <c r="A142" s="4"/>
      <c r="B142" s="4"/>
      <c r="C142" s="4"/>
      <c r="D142" s="5"/>
      <c r="E142" s="5"/>
      <c r="F142" s="4"/>
      <c r="G142" s="4"/>
      <c r="I142" s="7"/>
      <c r="J142" s="7"/>
      <c r="K142" s="7"/>
      <c r="L142" s="7"/>
      <c r="N142" s="7"/>
      <c r="O142" s="7"/>
      <c r="P142" s="7"/>
      <c r="Q142" s="7"/>
    </row>
    <row r="143" spans="1:17" x14ac:dyDescent="0.25">
      <c r="A143" s="4"/>
      <c r="B143" s="4"/>
      <c r="C143" s="4"/>
      <c r="D143" s="5"/>
      <c r="E143" s="5"/>
      <c r="F143" s="4"/>
      <c r="G143" s="4"/>
      <c r="I143" s="7"/>
      <c r="J143" s="7"/>
      <c r="K143" s="7"/>
      <c r="L143" s="7"/>
      <c r="N143" s="7"/>
      <c r="O143" s="7"/>
      <c r="P143" s="7"/>
      <c r="Q143" s="7"/>
    </row>
    <row r="144" spans="1:17" x14ac:dyDescent="0.25">
      <c r="A144" s="4"/>
      <c r="B144" s="4"/>
      <c r="C144" s="4"/>
      <c r="D144" s="5"/>
      <c r="E144" s="5"/>
      <c r="F144" s="4"/>
      <c r="G144" s="4"/>
      <c r="I144" s="7"/>
      <c r="J144" s="7"/>
      <c r="K144" s="7"/>
      <c r="L144" s="7"/>
      <c r="N144" s="7"/>
      <c r="O144" s="7"/>
      <c r="P144" s="7"/>
      <c r="Q144" s="7"/>
    </row>
    <row r="145" spans="1:17" x14ac:dyDescent="0.25">
      <c r="A145" s="4"/>
      <c r="B145" s="4"/>
      <c r="C145" s="4"/>
      <c r="D145" s="5"/>
      <c r="E145" s="5"/>
      <c r="F145" s="4"/>
      <c r="G145" s="4"/>
      <c r="I145" s="7"/>
      <c r="J145" s="7"/>
      <c r="K145" s="7"/>
      <c r="L145" s="7"/>
      <c r="N145" s="7"/>
      <c r="O145" s="7"/>
      <c r="P145" s="7"/>
      <c r="Q145" s="7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As_1</vt:lpstr>
      <vt:lpstr>As_2</vt:lpstr>
      <vt:lpstr>b</vt:lpstr>
      <vt:lpstr>b_1</vt:lpstr>
      <vt:lpstr>d_1</vt:lpstr>
      <vt:lpstr>d_2</vt:lpstr>
      <vt:lpstr>fc_prime</vt:lpstr>
      <vt:lpstr>fy</vt:lpstr>
      <vt:lpstr>h</vt:lpstr>
      <vt:lpstr>increment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2018-10-16T23:38:47Z</dcterms:created>
  <dcterms:modified xsi:type="dcterms:W3CDTF">2018-10-17T21:58:09Z</dcterms:modified>
</cp:coreProperties>
</file>